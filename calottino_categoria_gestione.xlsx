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4FC16C20-90FC-8B42-81C1-5D6B1DBA82FD}" xr6:coauthVersionLast="47" xr6:coauthVersionMax="47" xr10:uidLastSave="{00000000-0000-0000-0000-000000000000}"/>
  <bookViews>
    <workbookView xWindow="0" yWindow="680" windowWidth="34200" windowHeight="19900" activeTab="5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B17" i="8"/>
  <c r="B20" i="1" s="1"/>
  <c r="H7" i="6"/>
  <c r="H8" i="6"/>
  <c r="H9" i="6"/>
  <c r="H10" i="6"/>
  <c r="F11" i="6"/>
  <c r="F12" i="6"/>
  <c r="F13" i="6"/>
  <c r="F14" i="6"/>
  <c r="F15" i="6"/>
  <c r="F23" i="6"/>
  <c r="H23" i="6" s="1"/>
  <c r="F24" i="6"/>
  <c r="H24" i="6" s="1"/>
  <c r="F25" i="6"/>
  <c r="H25" i="6" s="1"/>
  <c r="F26" i="6"/>
  <c r="H26" i="6" s="1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E16" i="4" s="1"/>
  <c r="C15" i="4"/>
  <c r="E15" i="4" s="1"/>
  <c r="C14" i="4"/>
  <c r="E14" i="4" s="1"/>
  <c r="C13" i="4"/>
  <c r="E13" i="4" s="1"/>
  <c r="C12" i="4"/>
  <c r="E12" i="4" s="1"/>
  <c r="C11" i="4"/>
  <c r="E11" i="4" s="1"/>
  <c r="C10" i="4"/>
  <c r="E10" i="4" s="1"/>
  <c r="C9" i="4"/>
  <c r="E9" i="4" s="1"/>
  <c r="C8" i="4"/>
  <c r="E8" i="4" s="1"/>
  <c r="C7" i="4"/>
  <c r="E7" i="4" s="1"/>
  <c r="C6" i="4"/>
  <c r="E6" i="4" s="1"/>
  <c r="C5" i="4"/>
  <c r="E5" i="4" s="1"/>
  <c r="C4" i="4"/>
  <c r="E4" i="4" s="1"/>
  <c r="B9" i="3"/>
  <c r="B22" i="8" s="1"/>
  <c r="H15" i="6" l="1"/>
  <c r="H14" i="6"/>
  <c r="F12" i="4"/>
  <c r="F11" i="4"/>
  <c r="F18" i="4"/>
  <c r="F10" i="4"/>
  <c r="F17" i="4"/>
  <c r="F9" i="4"/>
  <c r="F16" i="4"/>
  <c r="F8" i="4"/>
  <c r="F15" i="4"/>
  <c r="F7" i="4"/>
  <c r="F14" i="4"/>
  <c r="F6" i="4"/>
  <c r="F13" i="4"/>
  <c r="F5" i="4"/>
  <c r="H13" i="6"/>
  <c r="H11" i="6"/>
  <c r="H12" i="6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<sst xmlns="http://schemas.openxmlformats.org/spreadsheetml/2006/main" count="1343" uniqueCount="199">
  <si>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</si>
  <si>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</si>
  <si>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</si>
  <si>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</si>
  <si>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</si>
  <si>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</si>
  <si>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</si>
  <si>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</si>
  <si>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</si>
  <si>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</si>
  <si>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</si>
  <si>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</si>
  <si>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</si>
  <si>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</si>
  <si>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</si>
  <si>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</si>
  <si>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</si>
  <si>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</si>
  <si>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</si>
  <si>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</si>
  <si>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</si>
  <si>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</si>
  <si>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</si>
  <si>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</si>
  <si>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</si>
  <si>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</si>
  <si>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</si>
  <si>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</si>
  <si>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</si>
  <si>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</si>
  <si>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</si>
  <si>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</si>
  <si>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</si>
  <si>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</si>
  <si>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</si>
  <si>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</si>
  <si>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</si>
  <si>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</si>
  <si>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</si>
  <si>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</si>
  <si>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</si>
  <si>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</si>
  <si>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</si>
  <si>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</si>
  <si>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</si>
  <si>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</si>
  <si>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</si>
  <si>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</si>
  <si>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</si>
  <si>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</si>
  <si>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</si>
  <si>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</si>
  <si>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</si>
  <si>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</si>
  <si>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</si>
  <si>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</si>
  <si>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</si>
  <si>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</si>
  <si>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</si>
  <si>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</si>
  <si>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</si>
  <si>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</si>
  <si>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</si>
  <si>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</si>
  <si>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</si>
  <si>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</si>
  <si>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</si>
  <si>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</si>
  <si>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</si>
  <si>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</si>
  <si>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</si>
  <si>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</si>
  <si>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</si>
  <si>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</si>
  <si>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</si>
  <si>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</si>
  <si>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</si>
  <si>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</si>
  <si>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</si>
  <si>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</si>
  <si>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</si>
  <si>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</si>
  <si>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</si>
  <si>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</si>
  <si>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</si>
  <si>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</si>
  <si>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</si>
  <si>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</si>
  <si>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</si>
  <si>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</si>
  <si>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</si>
  <si>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</si>
  <si>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</si>
  <si>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</si>
  <si>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</si>
  <si>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</si>
  <si>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</si>
  <si>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</si>
  <si>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</si>
  <si>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</si>
  <si>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</si>
  <si>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</si>
  <si>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</si>
  <si>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</si>
  <si>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</si>
  <si>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</si>
  <si>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</si>
  <si>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</si>
  <si>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</si>
  <si>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</si>
  <si>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</si>
  <si>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</si>
  <si>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</si>
  <si>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</si>
  <si>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</si>
  <si>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</si>
  <si>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</si>
  <si>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</si>
  <si>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</si>
  <si>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</si>
  <si>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</si>
  <si>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</si>
  <si>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</si>
  <si>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</si>
  <si>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</si>
  <si>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</si>
  <si>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</si>
  <si>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</si>
  <si>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</si>
  <si>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</si>
  <si>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</si>
  <si>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</si>
  <si>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</si>
  <si>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</si>
  <si>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</si>
  <si>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</si>
  <si>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</si>
  <si>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</si>
  <si>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</si>
  <si>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</si>
  <si>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</si>
  <si>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</si>
  <si>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</si>
  <si>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</si>
  <si>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</si>
  <si>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</si>
  <si>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</si>
  <si>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</si>
  <si>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</si>
  <si>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</si>
  <si>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</si>
  <si>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</si>
  <si>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</si>
  <si>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</si>
  <si>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</si>
  <si>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</si>
  <si>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</si>
  <si>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</si>
  <si>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</si>
  <si>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</si>
  <si>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</si>
  <si>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</si>
  <si>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</si>
  <si>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</si>
  <si>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</si>
  <si>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</si>
  <si>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</si>
  <si>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</si>
  <si>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</si>
  <si>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</si>
  <si>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</si>
  <si>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</si>
  <si>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Mimmo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</si>
  <si>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</si>
  <si>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</si>
  <si>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</si>
  <si>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</si>
  <si>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</si>
  <si>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</si>
  <si>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</si>
  <si>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</si>
  <si>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</si>
  <si>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</si>
  <si>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</si>
  <si>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</si>
  <si>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</si>
  <si>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</si>
  <si>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</si>
  <si>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</si>
  <si>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</si>
  <si>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</si>
  <si>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</si>
  <si>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18/06/2026</t>
  </si>
  <si>
    <t>Ragnoli</t>
  </si>
  <si>
    <t>19/06/2026</t>
  </si>
  <si>
    <t>Marra</t>
  </si>
  <si>
    <t>22/06/2026</t>
  </si>
  <si>
    <t>Lombardo</t>
  </si>
  <si>
    <t>De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</si>
</sst>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300</c:v>
                </c:pt>
                <c:pt idx="1">
                  <c:v>84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>
      <calculatedColumnFormula>D4-C4</calculatedColumnFormula>
    </tableColumn>
    <tableColumn id="6" xr3:uid="{00000000-0010-0000-0000-000006000000}" name="Stato" dataDxfId="59">
      <calculatedColumnFormula>IF(D4&gt;=C4,"Pagata",IF(D4&gt;0,"Parziale","Da pagare"))</calculatedColumnFormula>
    </tableColumn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36"/>
    <tableColumn id="6" xr3:uid="{00000000-0010-0000-0200-000006000000}" name="Ricavo" dataDxfId="35">
      <calculatedColumnFormula>IF(OR(D4="",E4=""),"",D4*E4)</calculatedColumnFormula>
    </tableColumn>
    <tableColumn id="7" xr3:uid="{00000000-0010-0000-0200-000007000000}" name="Costo stimato" dataDxfId="34">
      <calculatedColumnFormula>IF(D4="","",D4*Parametri!$B$6)</calculatedColumnFormula>
    </tableColumn>
    <tableColumn id="8" xr3:uid="{00000000-0010-0000-0200-000008000000}" name="Utile lordo" dataDxfId="33">
      <calculatedColumnFormula>IF(F4="","",F4-G4)</calculatedColumnFormula>
    </tableColumn>
    <tableColumn id="9" xr3:uid="{00000000-0010-0000-0200-000009000000}" name="Incassato?" dataDxfId="32"/>
    <tableColumn id="10" xr3:uid="{00000000-0010-0000-0200-00000A000000}" name="Metodo" dataDxfId="31"/>
    <tableColumn id="11" xr3:uid="{00000000-0010-0000-0200-00000B000000}" name="Note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5" zoomScale="150" workbookViewId="0">
      <selection activeCell="B17" sqref="B17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9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20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6" t="s">
        <v>2</v>
      </c>
      <c r="B4" s="15"/>
      <c r="C4" s="15"/>
      <c r="D4" s="16" t="s">
        <v>3</v>
      </c>
      <c r="E4" s="15"/>
      <c r="F4" s="15"/>
      <c r="G4" s="16" t="s">
        <v>4</v>
      </c>
      <c r="H4" s="15"/>
      <c r="I4" s="15"/>
      <c r="J4" s="16" t="s">
        <v>175</v>
      </c>
      <c r="K4" s="15"/>
      <c r="L4" s="15"/>
    </row>
    <row r="5" spans="1:12" ht="25.5" customHeight="1">
      <c r="A5" s="17">
        <f>Magazzino_Cassa!B16</f>
        <v>-75</v>
      </c>
      <c r="B5" s="15"/>
      <c r="C5" s="15"/>
      <c r="D5" s="17">
        <f>Magazzino_Cassa!B6</f>
        <v>300</v>
      </c>
      <c r="E5" s="15"/>
      <c r="F5" s="15"/>
      <c r="G5" s="21">
        <f>Magazzino_Cassa!B14</f>
        <v>167</v>
      </c>
      <c r="H5" s="15"/>
      <c r="I5" s="15"/>
      <c r="J5" s="17">
        <f>Magazzino_Cassa!B12</f>
        <v>84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6" t="s">
        <v>5</v>
      </c>
      <c r="B8" s="15"/>
      <c r="C8" s="15"/>
      <c r="D8" s="16" t="s">
        <v>6</v>
      </c>
      <c r="E8" s="15"/>
      <c r="F8" s="15"/>
      <c r="G8" s="16" t="s">
        <v>7</v>
      </c>
      <c r="H8" s="15"/>
      <c r="I8" s="15"/>
      <c r="J8" s="16" t="s">
        <v>168</v>
      </c>
      <c r="K8" s="15"/>
      <c r="L8" s="15"/>
    </row>
    <row r="9" spans="1:12" ht="25.5" customHeight="1">
      <c r="A9" s="17">
        <f>Magazzino_Cassa!B15</f>
        <v>80</v>
      </c>
      <c r="B9" s="15"/>
      <c r="C9" s="15"/>
      <c r="D9" s="17">
        <f>Magazzino_Cassa!B13</f>
        <v>65.100000000000009</v>
      </c>
      <c r="E9" s="15"/>
      <c r="F9" s="15"/>
      <c r="G9" s="18" t="str">
        <f>Magazzino_Cassa!B8&amp;"/"&amp;Parametri!B4</f>
        <v>12/15</v>
      </c>
      <c r="H9" s="15"/>
      <c r="I9" s="15"/>
      <c r="J9" s="17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14" t="s">
        <v>8</v>
      </c>
      <c r="B13" s="15"/>
      <c r="C13" s="15"/>
      <c r="D13" s="15"/>
      <c r="E13" s="15"/>
      <c r="F13" s="15"/>
      <c r="G13" s="14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300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175</v>
      </c>
      <c r="B16" s="4">
        <f>Magazzino_Cassa!B12</f>
        <v>84</v>
      </c>
      <c r="C16" s="3" t="s">
        <v>16</v>
      </c>
      <c r="D16" s="3" t="s">
        <v>181</v>
      </c>
      <c r="G16" s="3" t="s">
        <v>21</v>
      </c>
      <c r="H16" s="5">
        <f>Magazzino_Cassa!B11</f>
        <v>33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167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-75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177</v>
      </c>
      <c r="B20" s="4">
        <f>Magazzino_Cassa!B17</f>
        <v>0</v>
      </c>
      <c r="C20" s="3" t="s">
        <v>16</v>
      </c>
      <c r="D20" s="3" t="s">
        <v>182</v>
      </c>
      <c r="G20" s="3" t="s">
        <v>184</v>
      </c>
      <c r="H20" s="5">
        <f>Magazzino_Cassa!B24</f>
        <v>45</v>
      </c>
      <c r="I20" s="3" t="s">
        <v>19</v>
      </c>
      <c r="J20" s="3" t="s">
        <v>185</v>
      </c>
    </row>
    <row r="21" spans="1:12" ht="30">
      <c r="A21" s="3" t="s">
        <v>178</v>
      </c>
      <c r="B21" s="4">
        <f>Magazzino_Cassa!B18</f>
        <v>84</v>
      </c>
      <c r="C21" s="3" t="s">
        <v>16</v>
      </c>
      <c r="D21" s="3" t="s">
        <v>183</v>
      </c>
      <c r="G21" s="3" t="s">
        <v>186</v>
      </c>
      <c r="H21" s="4">
        <f>Parametri!B12</f>
        <v>9.3000000000000007</v>
      </c>
      <c r="I21" s="3" t="s">
        <v>31</v>
      </c>
      <c r="J21" s="3" t="s">
        <v>187</v>
      </c>
    </row>
    <row r="23" spans="1:12" ht="20" customHeight="1">
      <c r="A23" s="14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9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188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189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9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173</v>
      </c>
      <c r="B12" s="4">
        <f>B8-B6</f>
        <v>9.3000000000000007</v>
      </c>
      <c r="C12" s="3" t="s">
        <v>31</v>
      </c>
      <c r="D12" s="3" t="s">
        <v>174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70" workbookViewId="0">
      <selection activeCell="I11" sqref="I11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9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190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191</v>
      </c>
      <c r="J4" s="4">
        <v>161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194</v>
      </c>
      <c r="H6" s="3" t="s">
        <v>134</v>
      </c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0</v>
      </c>
      <c r="E9" s="4">
        <f t="shared" si="0"/>
        <v>-25</v>
      </c>
      <c r="F9" s="3" t="str">
        <f t="shared" si="1"/>
        <v>Da pagare</v>
      </c>
      <c r="G9" s="8"/>
      <c r="H9" s="3"/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0</v>
      </c>
      <c r="E11" s="4">
        <f t="shared" si="0"/>
        <v>-25</v>
      </c>
      <c r="F11" s="3" t="str">
        <f t="shared" si="1"/>
        <v>Da pagare</v>
      </c>
      <c r="G11" s="8"/>
      <c r="H11" s="3"/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0</v>
      </c>
      <c r="E17" s="4">
        <f t="shared" si="0"/>
        <v>-25</v>
      </c>
      <c r="F17" s="3" t="str">
        <f t="shared" si="1"/>
        <v>Da pagare</v>
      </c>
      <c r="G17" s="8"/>
      <c r="H17" s="3"/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9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tabSelected="1" zoomScale="182" workbookViewId="0">
      <selection activeCell="J21" sqref="J2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9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/>
    </row>
    <row r="12" spans="1:11">
      <c r="A12" s="8" t="s">
        <v>156</v>
      </c>
      <c r="B12" s="3" t="s">
        <v>195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172</v>
      </c>
    </row>
    <row r="13" spans="1:11">
      <c r="A13" s="8" t="s">
        <v>192</v>
      </c>
      <c r="B13" s="3" t="s">
        <v>193</v>
      </c>
      <c r="C13" s="3" t="s">
        <v>100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101</v>
      </c>
      <c r="J13" s="3" t="s">
        <v>128</v>
      </c>
      <c r="K13" s="3" t="s">
        <v>172</v>
      </c>
    </row>
    <row r="14" spans="1:11">
      <c r="A14" s="8" t="s">
        <v>196</v>
      </c>
      <c r="B14" s="3" t="s">
        <v>197</v>
      </c>
      <c r="C14" s="3" t="s">
        <v>100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101</v>
      </c>
      <c r="J14" s="3" t="s">
        <v>128</v>
      </c>
      <c r="K14" s="3" t="s">
        <v>172</v>
      </c>
    </row>
    <row r="15" spans="1:11">
      <c r="A15" s="8" t="s">
        <v>196</v>
      </c>
      <c r="B15" s="3" t="s">
        <v>198</v>
      </c>
      <c r="C15" s="3" t="s">
        <v>100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101</v>
      </c>
      <c r="J15" s="3" t="s">
        <v>158</v>
      </c>
      <c r="K15" s="3" t="s">
        <v>172</v>
      </c>
    </row>
    <row r="16" spans="1:11">
      <c r="A16" s="8" t="s">
        <v>196</v>
      </c>
      <c r="B16" s="3" t="s">
        <v>197</v>
      </c>
      <c r="C16" s="3" t="s">
        <v>100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101</v>
      </c>
      <c r="J16" s="3"/>
      <c r="K16" s="3"/>
    </row>
    <row r="17" spans="1:11">
      <c r="A17" s="8" t="s">
        <v>196</v>
      </c>
      <c r="B17" s="3" t="s">
        <v>139</v>
      </c>
      <c r="C17" s="3" t="s">
        <v>100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101</v>
      </c>
      <c r="J17" s="3"/>
      <c r="K17" s="3"/>
    </row>
    <row r="18" spans="1:11">
      <c r="A18" s="8" t="s">
        <v>196</v>
      </c>
      <c r="B18" s="3" t="s">
        <v>137</v>
      </c>
      <c r="C18" s="3" t="s">
        <v>100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101</v>
      </c>
      <c r="J18" s="3"/>
      <c r="K18" s="3"/>
    </row>
    <row r="19" spans="1:11">
      <c r="A19" s="8" t="s">
        <v>196</v>
      </c>
      <c r="B19" s="3" t="s">
        <v>142</v>
      </c>
      <c r="C19" s="3" t="s">
        <v>100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101</v>
      </c>
      <c r="J19" s="3"/>
      <c r="K19" s="3"/>
    </row>
    <row r="20" spans="1:11">
      <c r="A20" s="8" t="s">
        <v>196</v>
      </c>
      <c r="B20" s="3" t="s">
        <v>148</v>
      </c>
      <c r="C20" s="3" t="s">
        <v>100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101</v>
      </c>
      <c r="J20" s="3"/>
      <c r="K20" s="3"/>
    </row>
    <row r="21" spans="1:11">
      <c r="A21" s="8" t="s">
        <v>196</v>
      </c>
      <c r="B21" s="3" t="s">
        <v>149</v>
      </c>
      <c r="C21" s="3" t="s">
        <v>100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101</v>
      </c>
      <c r="J21" s="3"/>
      <c r="K21" s="3"/>
    </row>
    <row r="22" spans="1:11">
      <c r="A22" s="8" t="s">
        <v>196</v>
      </c>
      <c r="B22" s="3" t="s">
        <v>145</v>
      </c>
      <c r="C22" s="3" t="s">
        <v>100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101</v>
      </c>
      <c r="J22" s="3"/>
      <c r="K22" s="3"/>
    </row>
    <row r="23" spans="1:11">
      <c r="A23" s="8"/>
      <c r="B23" s="3"/>
      <c r="C23" s="3" t="s">
        <v>100</v>
      </c>
      <c r="D23" s="5"/>
      <c r="E23" s="13"/>
      <c r="F23" s="4" t="str">
        <f t="shared" si="1"/>
        <v/>
      </c>
      <c r="G23" s="4" t="str">
        <f>IF(D23="","",D23*Parametri!$B$6)</f>
        <v/>
      </c>
      <c r="H23" s="4" t="str">
        <f t="shared" si="0"/>
        <v/>
      </c>
      <c r="I23" s="3" t="s">
        <v>101</v>
      </c>
      <c r="J23" s="3"/>
      <c r="K23" s="3"/>
    </row>
    <row r="24" spans="1:11">
      <c r="A24" s="8"/>
      <c r="B24" s="3"/>
      <c r="C24" s="3" t="s">
        <v>100</v>
      </c>
      <c r="D24" s="5"/>
      <c r="E24" s="13"/>
      <c r="F24" s="4" t="str">
        <f t="shared" si="1"/>
        <v/>
      </c>
      <c r="G24" s="4" t="str">
        <f>IF(D24="","",D24*Parametri!$B$6)</f>
        <v/>
      </c>
      <c r="H24" s="4" t="str">
        <f t="shared" si="0"/>
        <v/>
      </c>
      <c r="I24" s="3" t="s">
        <v>101</v>
      </c>
      <c r="J24" s="3"/>
      <c r="K24" s="3"/>
    </row>
    <row r="25" spans="1:11">
      <c r="A25" s="8"/>
      <c r="B25" s="3"/>
      <c r="C25" s="3" t="s">
        <v>100</v>
      </c>
      <c r="D25" s="5"/>
      <c r="E25" s="13"/>
      <c r="F25" s="4" t="str">
        <f t="shared" si="1"/>
        <v/>
      </c>
      <c r="G25" s="4" t="str">
        <f>IF(D25="","",D25*Parametri!$B$6)</f>
        <v/>
      </c>
      <c r="H25" s="4" t="str">
        <f t="shared" si="0"/>
        <v/>
      </c>
      <c r="I25" s="3" t="s">
        <v>101</v>
      </c>
      <c r="J25" s="3"/>
      <c r="K25" s="3"/>
    </row>
    <row r="26" spans="1:11">
      <c r="A26" s="8"/>
      <c r="B26" s="3"/>
      <c r="C26" s="3" t="s">
        <v>100</v>
      </c>
      <c r="D26" s="5"/>
      <c r="E26" s="13"/>
      <c r="F26" s="4" t="str">
        <f t="shared" si="1"/>
        <v/>
      </c>
      <c r="G26" s="4" t="str">
        <f>IF(D26="","",D26*Parametri!$B$6)</f>
        <v/>
      </c>
      <c r="H26" s="4" t="str">
        <f t="shared" si="0"/>
        <v/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13"/>
      <c r="F27" s="4" t="str">
        <f t="shared" si="1"/>
        <v/>
      </c>
      <c r="G27" s="4" t="str">
        <f>IF(D27="","",D27*Parametri!$B$6)</f>
        <v/>
      </c>
      <c r="H27" s="4" t="str">
        <f t="shared" si="0"/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13"/>
      <c r="F28" s="4" t="str">
        <f t="shared" si="1"/>
        <v/>
      </c>
      <c r="G28" s="4" t="str">
        <f>IF(D28="","",D28*Parametri!$B$6)</f>
        <v/>
      </c>
      <c r="H28" s="4" t="str">
        <f t="shared" si="0"/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4" sqref="C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9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opLeftCell="A7" zoomScale="167" workbookViewId="0">
      <selection activeCell="A21" sqref="A21:C25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9" t="s">
        <v>105</v>
      </c>
      <c r="B1" s="15"/>
      <c r="C1" s="15"/>
      <c r="D1" s="15"/>
      <c r="E1" s="15"/>
      <c r="F1" s="15"/>
    </row>
    <row r="3" spans="1:11" ht="32" customHeight="1">
      <c r="A3" s="14" t="s">
        <v>106</v>
      </c>
      <c r="B3" s="15"/>
      <c r="C3" s="15"/>
      <c r="D3" s="15"/>
      <c r="E3" s="15"/>
      <c r="F3" s="15"/>
      <c r="H3" s="14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300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75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12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33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175</v>
      </c>
      <c r="B12" s="4">
        <f>SUMIFS(Vendite_Patch!F4:F303,Vendite_Patch!I4:I303,"Sì")</f>
        <v>84</v>
      </c>
      <c r="C12" s="3" t="s">
        <v>31</v>
      </c>
      <c r="D12" s="3"/>
      <c r="E12" s="3"/>
      <c r="F12" s="3"/>
    </row>
    <row r="13" spans="1:11">
      <c r="A13" s="6" t="s">
        <v>176</v>
      </c>
      <c r="B13" s="4">
        <f>SUMIFS(Vendite_Patch!H4:H303,Vendite_Patch!I4:I303,"Sì")</f>
        <v>65.100000000000009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167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-75</v>
      </c>
      <c r="C16" s="3" t="s">
        <v>31</v>
      </c>
      <c r="D16" s="3"/>
      <c r="E16" s="3"/>
      <c r="F16" s="3"/>
    </row>
    <row r="17" spans="1:6">
      <c r="A17" s="6" t="s">
        <v>177</v>
      </c>
      <c r="B17" s="4">
        <f>SUMIFS(Vendite_Patch!$F$4:$F$303,Vendite_Patch!$I$4:$I$303,"Sì",Vendite_Patch!$E$4:$E$303,Parametri!$B$7)</f>
        <v>0</v>
      </c>
      <c r="C17" s="3" t="s">
        <v>31</v>
      </c>
    </row>
    <row r="18" spans="1:6">
      <c r="A18" s="6" t="s">
        <v>178</v>
      </c>
      <c r="B18" s="4">
        <f>SUMIFS(Vendite_Patch!$F$4:$F$303,Vendite_Patch!$I$4:$I$303,"Sì",Vendite_Patch!$E$4:$E$303,Parametri!$B$8)</f>
        <v>84</v>
      </c>
      <c r="C18" s="3" t="s">
        <v>31</v>
      </c>
    </row>
    <row r="19" spans="1:6" ht="29.25" customHeight="1">
      <c r="A19" s="14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179</v>
      </c>
      <c r="B24" s="5">
        <f>IF(Parametri!B8&gt;0,ROUNDUP(B10/Parametri!B8,0),0)</f>
        <v>45</v>
      </c>
      <c r="C24" s="3" t="s">
        <v>180</v>
      </c>
    </row>
    <row r="25" spans="1:6">
      <c r="A25" s="3" t="s">
        <v>173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9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2026-06-22T11:28:06Z</dcterms:modified>
</cp:coreProperties>
</file>