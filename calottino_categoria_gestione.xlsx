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CE904600-5148-8840-9508-7FF2B4AF0134}" xr6:coauthVersionLast="47" xr6:coauthVersionMax="47" xr10:uidLastSave="{00000000-0000-0000-0000-000000000000}"/>
  <bookViews>
    <workbookView xWindow="-20" yWindow="680" windowWidth="34200" windowHeight="19900" activeTab="3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12" i="3"/>
  <c r="H21" i="1" s="1"/>
  <c r="H6" i="6"/>
  <c r="G11" i="6"/>
  <c r="G12" i="6"/>
  <c r="G13" i="6"/>
  <c r="G14" i="6"/>
  <c r="G15" i="6"/>
  <c r="G23" i="6"/>
  <c r="G24" i="6"/>
  <c r="G25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H7" i="6"/>
  <c r="H8" i="6"/>
  <c r="H9" i="6"/>
  <c r="H10" i="6"/>
  <c r="F11" i="6"/>
  <c r="F12" i="6"/>
  <c r="F13" i="6"/>
  <c r="F14" i="6"/>
  <c r="F15" i="6"/>
  <c r="F23" i="6"/>
  <c r="F24" i="6"/>
  <c r="F25" i="6"/>
  <c r="F27" i="6"/>
  <c r="H27" i="6" s="1"/>
  <c r="F28" i="6"/>
  <c r="H28" i="6" s="1"/>
  <c r="F29" i="6"/>
  <c r="H29" i="6" s="1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E18" i="4" s="1"/>
  <c r="C17" i="4"/>
  <c r="E17" i="4" s="1"/>
  <c r="C16" i="4"/>
  <c r="E16" i="4" s="1"/>
  <c r="C15" i="4"/>
  <c r="E15" i="4" s="1"/>
  <c r="C14" i="4"/>
  <c r="E14" i="4" s="1"/>
  <c r="C13" i="4"/>
  <c r="E13" i="4" s="1"/>
  <c r="C12" i="4"/>
  <c r="E12" i="4" s="1"/>
  <c r="C11" i="4"/>
  <c r="E11" i="4" s="1"/>
  <c r="C10" i="4"/>
  <c r="E10" i="4" s="1"/>
  <c r="C9" i="4"/>
  <c r="E9" i="4" s="1"/>
  <c r="C8" i="4"/>
  <c r="E8" i="4" s="1"/>
  <c r="C7" i="4"/>
  <c r="E7" i="4" s="1"/>
  <c r="C6" i="4"/>
  <c r="E6" i="4" s="1"/>
  <c r="C5" i="4"/>
  <c r="E5" i="4" s="1"/>
  <c r="C4" i="4"/>
  <c r="E4" i="4" s="1"/>
  <c r="B9" i="3"/>
  <c r="B22" i="8" s="1"/>
  <c r="H26" i="6" l="1"/>
  <c r="H25" i="6"/>
  <c r="H23" i="6"/>
  <c r="H24" i="6"/>
  <c r="B17" i="8"/>
  <c r="B20" i="1" s="1"/>
  <c r="H15" i="6"/>
  <c r="H14" i="6"/>
  <c r="F12" i="4"/>
  <c r="F11" i="4"/>
  <c r="F18" i="4"/>
  <c r="F10" i="4"/>
  <c r="F17" i="4"/>
  <c r="F9" i="4"/>
  <c r="F16" i="4"/>
  <c r="F8" i="4"/>
  <c r="F15" i="4"/>
  <c r="F7" i="4"/>
  <c r="F14" i="4"/>
  <c r="F6" i="4"/>
  <c r="F13" i="4"/>
  <c r="F5" i="4"/>
  <c r="H13" i="6"/>
  <c r="H11" i="6"/>
  <c r="H12" i="6"/>
  <c r="B25" i="8"/>
  <c r="B18" i="8"/>
  <c r="B21" i="1" s="1"/>
  <c r="B24" i="8"/>
  <c r="H20" i="1" s="1"/>
  <c r="A9" i="1"/>
  <c r="B14" i="8"/>
  <c r="B20" i="8" s="1"/>
  <c r="B17" i="1"/>
  <c r="H15" i="1"/>
  <c r="D5" i="1"/>
  <c r="B12" i="8"/>
  <c r="B16" i="8" s="1"/>
  <c r="H19" i="1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<sst xmlns="http://schemas.openxmlformats.org/spreadsheetml/2006/main" count="1364" uniqueCount="206">
  <si>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</si>
  <si>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</si>
  <si>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</si>
  <si>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</si>
  <si>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</si>
  <si>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</si>
  <si>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</si>
  <si>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</si>
  <si>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</si>
  <si>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</si>
  <si>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</si>
  <si>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</si>
  <si>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</si>
  <si>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</si>
  <si>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</si>
  <si>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</si>
  <si>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</si>
  <si>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</si>
  <si>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</si>
  <si>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</si>
  <si>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</si>
  <si>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</si>
  <si>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</si>
  <si>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</si>
  <si>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</si>
  <si>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</si>
  <si>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</si>
  <si>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</si>
  <si>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</si>
  <si>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</si>
  <si>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</si>
  <si>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</si>
  <si>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</si>
  <si>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</si>
  <si>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</si>
  <si>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</si>
  <si>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</si>
  <si>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</si>
  <si>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</si>
  <si>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</si>
  <si>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</si>
  <si>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</si>
  <si>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</si>
  <si>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</si>
  <si>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</si>
  <si>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</si>
  <si>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</si>
  <si>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</si>
  <si>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</si>
  <si>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</si>
  <si>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</si>
  <si>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</si>
  <si>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</si>
  <si>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</si>
  <si>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</si>
  <si>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</si>
  <si>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</si>
  <si>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</si>
  <si>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</si>
  <si>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</si>
  <si>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</si>
  <si>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</si>
  <si>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</si>
  <si>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</si>
  <si>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</si>
  <si>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</si>
  <si>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</si>
  <si>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</si>
  <si>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</si>
  <si>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</si>
  <si>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</si>
  <si>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</si>
  <si>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</si>
  <si>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</si>
  <si>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</si>
  <si>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</si>
  <si>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</si>
  <si>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</si>
  <si>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</si>
  <si>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</si>
  <si>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</si>
  <si>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</si>
  <si>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</si>
  <si>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</si>
  <si>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</si>
  <si>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</si>
  <si>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</si>
  <si>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</si>
  <si>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</si>
  <si>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</si>
  <si>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</si>
  <si>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</si>
  <si>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</si>
  <si>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</si>
  <si>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</si>
  <si>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</si>
  <si>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</si>
  <si>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</si>
  <si>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</si>
  <si>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</si>
  <si>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</si>
  <si>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</si>
  <si>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</si>
  <si>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</si>
  <si>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</si>
  <si>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</si>
  <si>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</si>
  <si>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</si>
  <si>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</si>
  <si>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</si>
  <si>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</si>
  <si>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</si>
  <si>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</si>
  <si>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</si>
  <si>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</si>
  <si>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</si>
  <si>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</si>
  <si>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</si>
  <si>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</si>
  <si>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</si>
  <si>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</si>
  <si>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</si>
  <si>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</si>
  <si>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</si>
  <si>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</si>
  <si>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</si>
  <si>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</si>
  <si>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</si>
  <si>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</si>
  <si>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</si>
  <si>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</si>
  <si>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</si>
  <si>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</si>
  <si>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</si>
  <si>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</si>
  <si>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</si>
  <si>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</si>
  <si>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</si>
  <si>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</si>
  <si>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</si>
  <si>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</si>
  <si>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</si>
  <si>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</si>
  <si>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</si>
  <si>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</si>
  <si>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</si>
  <si>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</si>
  <si>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</si>
  <si>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</si>
  <si>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</si>
  <si>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</si>
  <si>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</si>
  <si>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</si>
  <si>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</si>
  <si>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</si>
  <si>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</si>
  <si>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</si>
  <si>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</si>
  <si>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</si>
  <si>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</si>
  <si>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</si>
  <si>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</si>
  <si>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</si>
  <si>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</si>
  <si>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</si>
  <si>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</si>
  <si>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</si>
  <si>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</si>
  <si>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</si>
  <si>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</si>
  <si>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</si>
  <si>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</si>
  <si>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</si>
  <si>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</si>
  <si>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</si>
  <si>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</si>
  <si>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</si>
  <si>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</si>
  <si>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</si>
  <si>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</si>
  <si>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</si>
  <si>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</si>
  <si>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</si>
  <si>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</si>
  <si>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</si>
  <si>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</si>
  <si>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</si>
  <si>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</si>
  <si>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</si>
  <si>
    <t>Anticipo da rimborsare</t>
  </si>
  <si>
    <t>Quota effettiva 25 euro; extra 245 euro registrato come anticipo da rimborsare.</t>
  </si>
  <si>
    <t>18/06/2026</t>
  </si>
  <si>
    <t>Ragnoli</t>
  </si>
  <si>
    <t>19/06/2026</t>
  </si>
  <si>
    <t>Marra</t>
  </si>
  <si>
    <t>22/06/2026</t>
  </si>
  <si>
    <t>Lombardo</t>
  </si>
  <si>
    <t>De Rosa</t>
  </si>
  <si>
    <t>23/06/2026</t>
  </si>
  <si>
    <t>26/06/2026</t>
  </si>
  <si>
    <t>30/06/2026</t>
  </si>
  <si>
    <t>Faustino</t>
  </si>
  <si>
    <t>Jimmy</t>
  </si>
  <si>
    <t>Caprara</t>
  </si>
  <si>
    <t>Dati a Mimmo</t>
  </si>
  <si>
    <t>Scalati, ma da dare a mimmo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</si>
</sst>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0" fontId="6" fillId="3" borderId="0" xfId="0" applyFont="1" applyFill="1" applyAlignment="1">
      <alignment horizontal="left" vertical="center"/>
    </xf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375</c:v>
                </c:pt>
                <c:pt idx="1">
                  <c:v>168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67" dataDxfId="66" totalsRowDxfId="65">
  <tableColumns count="9">
    <tableColumn id="1" xr3:uid="{00000000-0010-0000-0000-000001000000}" name="ID" dataDxfId="64"/>
    <tableColumn id="2" xr3:uid="{00000000-0010-0000-0000-000002000000}" name="Nome / Cognome" dataDxfId="63"/>
    <tableColumn id="3" xr3:uid="{00000000-0010-0000-0000-000003000000}" name="Quota dovuta" dataDxfId="62"/>
    <tableColumn id="4" xr3:uid="{00000000-0010-0000-0000-000004000000}" name="Quota pagata" dataDxfId="61"/>
    <tableColumn id="5" xr3:uid="{00000000-0010-0000-0000-000005000000}" name="Saldo" dataDxfId="60">
      <calculatedColumnFormula>D4-C4</calculatedColumnFormula>
    </tableColumn>
    <tableColumn id="6" xr3:uid="{00000000-0010-0000-0000-000006000000}" name="Stato" dataDxfId="59">
      <calculatedColumnFormula>IF(D4&gt;=C4,"Pagata",IF(D4&gt;0,"Parziale","Da pagare"))</calculatedColumnFormula>
    </tableColumn>
    <tableColumn id="7" xr3:uid="{00000000-0010-0000-0000-000007000000}" name="Data pagamento" dataDxfId="58"/>
    <tableColumn id="8" xr3:uid="{00000000-0010-0000-0000-000008000000}" name="Metodo" dataDxfId="57"/>
    <tableColumn id="9" xr3:uid="{00000000-0010-0000-0000-000009000000}" name="Not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55" dataDxfId="54" totalsRowDxfId="53">
  <tableColumns count="9">
    <tableColumn id="1" xr3:uid="{00000000-0010-0000-0100-000001000000}" name="Data" dataDxfId="52"/>
    <tableColumn id="2" xr3:uid="{00000000-0010-0000-0100-000002000000}" name="Fornitore" dataDxfId="51"/>
    <tableColumn id="3" xr3:uid="{00000000-0010-0000-0100-000003000000}" name="Lotto / Descrizione" dataDxfId="50"/>
    <tableColumn id="4" xr3:uid="{00000000-0010-0000-0100-000004000000}" name="Quantità" dataDxfId="49"/>
    <tableColumn id="5" xr3:uid="{00000000-0010-0000-0100-000005000000}" name="Costo unitario" dataDxfId="48"/>
    <tableColumn id="6" xr3:uid="{00000000-0010-0000-0100-000006000000}" name="Costo totale" dataDxfId="47"/>
    <tableColumn id="7" xr3:uid="{00000000-0010-0000-0100-000007000000}" name="Pagato da" dataDxfId="46"/>
    <tableColumn id="8" xr3:uid="{00000000-0010-0000-0100-000008000000}" name="Stato pagamento" dataDxfId="45"/>
    <tableColumn id="9" xr3:uid="{00000000-0010-0000-0100-000009000000}" name="Note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43" dataDxfId="42" totalsRowDxfId="41">
  <tableColumns count="11">
    <tableColumn id="1" xr3:uid="{00000000-0010-0000-0200-000001000000}" name="Data" dataDxfId="40"/>
    <tableColumn id="2" xr3:uid="{00000000-0010-0000-0200-000002000000}" name="Acquirente" dataDxfId="39"/>
    <tableColumn id="3" xr3:uid="{00000000-0010-0000-0200-000003000000}" name="Descrizione" dataDxfId="38"/>
    <tableColumn id="4" xr3:uid="{00000000-0010-0000-0200-000004000000}" name="Quantità" dataDxfId="37"/>
    <tableColumn id="5" xr3:uid="{00000000-0010-0000-0200-000005000000}" name="Prezzo unitario" dataDxfId="36"/>
    <tableColumn id="6" xr3:uid="{00000000-0010-0000-0200-000006000000}" name="Ricavo" dataDxfId="35">
      <calculatedColumnFormula>IF(OR(D4="",E4=""),"",D4*E4)</calculatedColumnFormula>
    </tableColumn>
    <tableColumn id="7" xr3:uid="{00000000-0010-0000-0200-000007000000}" name="Costo stimato" dataDxfId="34">
      <calculatedColumnFormula>IF(D4="","",D4*Parametri!$B$6)</calculatedColumnFormula>
    </tableColumn>
    <tableColumn id="8" xr3:uid="{00000000-0010-0000-0200-000008000000}" name="Utile lordo" dataDxfId="33">
      <calculatedColumnFormula>IF(F4="","",F4-G4)</calculatedColumnFormula>
    </tableColumn>
    <tableColumn id="9" xr3:uid="{00000000-0010-0000-0200-000009000000}" name="Incassato?" dataDxfId="32"/>
    <tableColumn id="10" xr3:uid="{00000000-0010-0000-0200-00000A000000}" name="Metodo" dataDxfId="31"/>
    <tableColumn id="11" xr3:uid="{00000000-0010-0000-0200-00000B000000}" name="Note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29" dataDxfId="28" totalsRow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zoomScale="150" workbookViewId="0">
      <selection activeCell="B16" sqref="B16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9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0" customHeight="1">
      <c r="A2" s="20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32" customHeight="1"/>
    <row r="4" spans="1:12" ht="20" customHeight="1">
      <c r="A4" s="16" t="s">
        <v>2</v>
      </c>
      <c r="B4" s="15"/>
      <c r="C4" s="15"/>
      <c r="D4" s="16" t="s">
        <v>3</v>
      </c>
      <c r="E4" s="15"/>
      <c r="F4" s="15"/>
      <c r="G4" s="16" t="s">
        <v>4</v>
      </c>
      <c r="H4" s="15"/>
      <c r="I4" s="15"/>
      <c r="J4" s="16" t="s">
        <v>174</v>
      </c>
      <c r="K4" s="15"/>
      <c r="L4" s="15"/>
    </row>
    <row r="5" spans="1:12" ht="25.5" customHeight="1">
      <c r="A5" s="17">
        <f>Magazzino_Cassa!B16</f>
        <v>0</v>
      </c>
      <c r="B5" s="15"/>
      <c r="C5" s="15"/>
      <c r="D5" s="17">
        <f>Magazzino_Cassa!B6</f>
        <v>375</v>
      </c>
      <c r="E5" s="15"/>
      <c r="F5" s="15"/>
      <c r="G5" s="21">
        <f>Magazzino_Cassa!B14</f>
        <v>159</v>
      </c>
      <c r="H5" s="15"/>
      <c r="I5" s="15"/>
      <c r="J5" s="17">
        <f>Magazzino_Cassa!B12</f>
        <v>168</v>
      </c>
      <c r="K5" s="15"/>
      <c r="L5" s="15"/>
    </row>
    <row r="6" spans="1:1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</row>
    <row r="8" spans="1:12" ht="20" customHeight="1">
      <c r="A8" s="16" t="s">
        <v>5</v>
      </c>
      <c r="B8" s="15"/>
      <c r="C8" s="15"/>
      <c r="D8" s="16" t="s">
        <v>6</v>
      </c>
      <c r="E8" s="15"/>
      <c r="F8" s="15"/>
      <c r="G8" s="16" t="s">
        <v>7</v>
      </c>
      <c r="H8" s="15"/>
      <c r="I8" s="15"/>
      <c r="J8" s="16" t="s">
        <v>168</v>
      </c>
      <c r="K8" s="15"/>
      <c r="L8" s="15"/>
    </row>
    <row r="9" spans="1:12" ht="25.5" customHeight="1">
      <c r="A9" s="17">
        <f>Magazzino_Cassa!B15</f>
        <v>80</v>
      </c>
      <c r="B9" s="15"/>
      <c r="C9" s="15"/>
      <c r="D9" s="17">
        <f>Magazzino_Cassa!B13</f>
        <v>132.90000000000003</v>
      </c>
      <c r="E9" s="15"/>
      <c r="F9" s="15"/>
      <c r="G9" s="18" t="str">
        <f>Magazzino_Cassa!B8&amp;"/"&amp;Parametri!B4</f>
        <v>15/15</v>
      </c>
      <c r="H9" s="15"/>
      <c r="I9" s="15"/>
      <c r="J9" s="17">
        <f>Parametri!B9</f>
        <v>12.3</v>
      </c>
      <c r="K9" s="15"/>
      <c r="L9" s="15"/>
    </row>
    <row r="10" spans="1:1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3" spans="1:12" ht="20" customHeight="1">
      <c r="A13" s="14" t="s">
        <v>8</v>
      </c>
      <c r="B13" s="15"/>
      <c r="C13" s="15"/>
      <c r="D13" s="15"/>
      <c r="E13" s="15"/>
      <c r="F13" s="15"/>
      <c r="G13" s="14" t="s">
        <v>9</v>
      </c>
      <c r="H13" s="15"/>
      <c r="I13" s="15"/>
      <c r="J13" s="15"/>
      <c r="K13" s="15"/>
      <c r="L13" s="15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375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174</v>
      </c>
      <c r="B16" s="4">
        <f>Magazzino_Cassa!B12</f>
        <v>168</v>
      </c>
      <c r="C16" s="3" t="s">
        <v>16</v>
      </c>
      <c r="D16" s="3" t="s">
        <v>180</v>
      </c>
      <c r="G16" s="3" t="s">
        <v>21</v>
      </c>
      <c r="H16" s="5">
        <f>Magazzino_Cassa!B11</f>
        <v>41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159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0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176</v>
      </c>
      <c r="B20" s="4">
        <f>Magazzino_Cassa!B17</f>
        <v>60</v>
      </c>
      <c r="C20" s="3" t="s">
        <v>16</v>
      </c>
      <c r="D20" s="3" t="s">
        <v>181</v>
      </c>
      <c r="G20" s="3" t="s">
        <v>183</v>
      </c>
      <c r="H20" s="5">
        <f>Magazzino_Cassa!B24</f>
        <v>45</v>
      </c>
      <c r="I20" s="3" t="s">
        <v>19</v>
      </c>
      <c r="J20" s="3" t="s">
        <v>184</v>
      </c>
    </row>
    <row r="21" spans="1:12" ht="30">
      <c r="A21" s="3" t="s">
        <v>177</v>
      </c>
      <c r="B21" s="4">
        <f>Magazzino_Cassa!B18</f>
        <v>108</v>
      </c>
      <c r="C21" s="3" t="s">
        <v>16</v>
      </c>
      <c r="D21" s="3" t="s">
        <v>182</v>
      </c>
      <c r="G21" s="3" t="s">
        <v>185</v>
      </c>
      <c r="H21" s="4">
        <f>Parametri!B12</f>
        <v>9.3000000000000007</v>
      </c>
      <c r="I21" s="3" t="s">
        <v>31</v>
      </c>
      <c r="J21" s="3" t="s">
        <v>186</v>
      </c>
    </row>
    <row r="23" spans="1:12" ht="20" customHeight="1">
      <c r="A23" s="14" t="s">
        <v>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9" t="s">
        <v>39</v>
      </c>
      <c r="B1" s="15"/>
      <c r="C1" s="15"/>
      <c r="D1" s="15"/>
      <c r="E1" s="15"/>
      <c r="F1" s="15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187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188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9" t="s">
        <v>62</v>
      </c>
      <c r="B1" s="15"/>
      <c r="C1" s="15"/>
      <c r="D1" s="15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172</v>
      </c>
      <c r="B12" s="4">
        <f>B8-B6</f>
        <v>9.3000000000000007</v>
      </c>
      <c r="C12" s="3" t="s">
        <v>31</v>
      </c>
      <c r="D12" s="3" t="s">
        <v>173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tabSelected="1" zoomScale="170" workbookViewId="0">
      <selection activeCell="I6" sqref="I6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37.25" customHeight="1">
      <c r="A1" s="19" t="s">
        <v>74</v>
      </c>
      <c r="B1" s="15"/>
      <c r="C1" s="15"/>
      <c r="D1" s="15"/>
      <c r="E1" s="15"/>
      <c r="F1" s="15"/>
      <c r="G1" s="15"/>
      <c r="H1" s="15"/>
      <c r="I1" s="15"/>
    </row>
    <row r="3" spans="1:10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  <c r="J3" s="2" t="s">
        <v>189</v>
      </c>
    </row>
    <row r="4" spans="1:10" ht="30">
      <c r="A4" s="3">
        <v>1</v>
      </c>
      <c r="B4" s="3" t="s">
        <v>135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150</v>
      </c>
      <c r="H4" s="3" t="s">
        <v>128</v>
      </c>
      <c r="I4" s="3" t="s">
        <v>190</v>
      </c>
      <c r="J4" s="4">
        <v>77</v>
      </c>
    </row>
    <row r="5" spans="1:10">
      <c r="A5" s="3">
        <v>2</v>
      </c>
      <c r="B5" s="3" t="s">
        <v>136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150</v>
      </c>
      <c r="H5" s="3" t="s">
        <v>134</v>
      </c>
      <c r="I5" s="3"/>
    </row>
    <row r="6" spans="1:10">
      <c r="A6" s="3">
        <v>3</v>
      </c>
      <c r="B6" s="3" t="s">
        <v>137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193</v>
      </c>
      <c r="H6" s="3" t="s">
        <v>134</v>
      </c>
      <c r="I6" s="3"/>
    </row>
    <row r="7" spans="1:10">
      <c r="A7" s="3">
        <v>4</v>
      </c>
      <c r="B7" s="3" t="s">
        <v>138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150</v>
      </c>
      <c r="H7" s="3" t="s">
        <v>134</v>
      </c>
      <c r="I7" s="3"/>
    </row>
    <row r="8" spans="1:10">
      <c r="A8" s="3">
        <v>5</v>
      </c>
      <c r="B8" s="3" t="s">
        <v>139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150</v>
      </c>
      <c r="H8" s="3" t="s">
        <v>134</v>
      </c>
      <c r="I8" s="3"/>
    </row>
    <row r="9" spans="1:10">
      <c r="A9" s="3">
        <v>6</v>
      </c>
      <c r="B9" s="3" t="s">
        <v>140</v>
      </c>
      <c r="C9" s="4">
        <f>Parametri!$B$5</f>
        <v>25</v>
      </c>
      <c r="D9" s="4">
        <v>25</v>
      </c>
      <c r="E9" s="4">
        <f t="shared" si="0"/>
        <v>0</v>
      </c>
      <c r="F9" s="3" t="str">
        <f t="shared" si="1"/>
        <v>Pagata</v>
      </c>
      <c r="G9" s="8" t="s">
        <v>200</v>
      </c>
      <c r="H9" s="3" t="s">
        <v>134</v>
      </c>
      <c r="I9" s="3"/>
    </row>
    <row r="10" spans="1:10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150</v>
      </c>
      <c r="H10" s="3" t="s">
        <v>134</v>
      </c>
      <c r="I10" s="3"/>
    </row>
    <row r="11" spans="1:10">
      <c r="A11" s="3">
        <v>8</v>
      </c>
      <c r="B11" s="3" t="s">
        <v>142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199</v>
      </c>
      <c r="H11" s="3" t="s">
        <v>134</v>
      </c>
      <c r="I11" s="3"/>
    </row>
    <row r="12" spans="1:10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150</v>
      </c>
      <c r="H12" s="3" t="s">
        <v>134</v>
      </c>
      <c r="I12" s="3"/>
    </row>
    <row r="13" spans="1:10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150</v>
      </c>
      <c r="H13" s="3" t="s">
        <v>134</v>
      </c>
      <c r="I13" s="3"/>
    </row>
    <row r="14" spans="1:10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150</v>
      </c>
      <c r="H14" s="3" t="s">
        <v>134</v>
      </c>
      <c r="I14" s="3"/>
    </row>
    <row r="15" spans="1:10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150</v>
      </c>
      <c r="H15" s="3" t="s">
        <v>134</v>
      </c>
      <c r="I15" s="3"/>
    </row>
    <row r="16" spans="1:10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198</v>
      </c>
      <c r="H17" s="3" t="s">
        <v>134</v>
      </c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topLeftCell="A2"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9" t="s">
        <v>82</v>
      </c>
      <c r="B1" s="15"/>
      <c r="C1" s="15"/>
      <c r="D1" s="15"/>
      <c r="E1" s="15"/>
      <c r="F1" s="15"/>
      <c r="G1" s="15"/>
      <c r="H1" s="15"/>
      <c r="I1" s="15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topLeftCell="A14" zoomScale="182" workbookViewId="0">
      <selection activeCell="C27" sqref="C27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9" t="s">
        <v>92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101</v>
      </c>
      <c r="J11" s="3" t="s">
        <v>158</v>
      </c>
      <c r="K11" s="3" t="s">
        <v>204</v>
      </c>
    </row>
    <row r="12" spans="1:11">
      <c r="A12" s="8" t="s">
        <v>156</v>
      </c>
      <c r="B12" s="3" t="s">
        <v>194</v>
      </c>
      <c r="C12" s="3" t="s">
        <v>100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101</v>
      </c>
      <c r="J12" s="3" t="s">
        <v>128</v>
      </c>
      <c r="K12" s="3" t="s">
        <v>204</v>
      </c>
    </row>
    <row r="13" spans="1:11">
      <c r="A13" s="8" t="s">
        <v>191</v>
      </c>
      <c r="B13" s="3" t="s">
        <v>192</v>
      </c>
      <c r="C13" s="3" t="s">
        <v>100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101</v>
      </c>
      <c r="J13" s="3" t="s">
        <v>128</v>
      </c>
      <c r="K13" s="3" t="s">
        <v>204</v>
      </c>
    </row>
    <row r="14" spans="1:11">
      <c r="A14" s="8" t="s">
        <v>195</v>
      </c>
      <c r="B14" s="3" t="s">
        <v>196</v>
      </c>
      <c r="C14" s="3" t="s">
        <v>100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101</v>
      </c>
      <c r="J14" s="3" t="s">
        <v>128</v>
      </c>
      <c r="K14" s="3" t="s">
        <v>204</v>
      </c>
    </row>
    <row r="15" spans="1:11">
      <c r="A15" s="8" t="s">
        <v>195</v>
      </c>
      <c r="B15" s="3" t="s">
        <v>197</v>
      </c>
      <c r="C15" s="3" t="s">
        <v>100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101</v>
      </c>
      <c r="J15" s="3" t="s">
        <v>158</v>
      </c>
      <c r="K15" s="3" t="s">
        <v>204</v>
      </c>
    </row>
    <row r="16" spans="1:11">
      <c r="A16" s="8" t="s">
        <v>195</v>
      </c>
      <c r="B16" s="3" t="s">
        <v>196</v>
      </c>
      <c r="C16" s="3" t="s">
        <v>100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101</v>
      </c>
      <c r="J16" s="3"/>
      <c r="K16" s="3"/>
    </row>
    <row r="17" spans="1:11">
      <c r="A17" s="8" t="s">
        <v>195</v>
      </c>
      <c r="B17" s="3" t="s">
        <v>139</v>
      </c>
      <c r="C17" s="3" t="s">
        <v>100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101</v>
      </c>
      <c r="J17" s="3"/>
      <c r="K17" s="3"/>
    </row>
    <row r="18" spans="1:11">
      <c r="A18" s="8" t="s">
        <v>195</v>
      </c>
      <c r="B18" s="3" t="s">
        <v>137</v>
      </c>
      <c r="C18" s="3" t="s">
        <v>100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101</v>
      </c>
      <c r="J18" s="3"/>
      <c r="K18" s="3"/>
    </row>
    <row r="19" spans="1:11">
      <c r="A19" s="8" t="s">
        <v>195</v>
      </c>
      <c r="B19" s="3" t="s">
        <v>142</v>
      </c>
      <c r="C19" s="3" t="s">
        <v>100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101</v>
      </c>
      <c r="J19" s="3"/>
      <c r="K19" s="3"/>
    </row>
    <row r="20" spans="1:11">
      <c r="A20" s="8" t="s">
        <v>195</v>
      </c>
      <c r="B20" s="3" t="s">
        <v>148</v>
      </c>
      <c r="C20" s="3" t="s">
        <v>100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101</v>
      </c>
      <c r="J20" s="3"/>
      <c r="K20" s="3"/>
    </row>
    <row r="21" spans="1:11">
      <c r="A21" s="8" t="s">
        <v>195</v>
      </c>
      <c r="B21" s="3" t="s">
        <v>149</v>
      </c>
      <c r="C21" s="3" t="s">
        <v>100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101</v>
      </c>
      <c r="J21" s="3"/>
      <c r="K21" s="3"/>
    </row>
    <row r="22" spans="1:11">
      <c r="A22" s="8" t="s">
        <v>195</v>
      </c>
      <c r="B22" s="3" t="s">
        <v>145</v>
      </c>
      <c r="C22" s="3" t="s">
        <v>100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101</v>
      </c>
      <c r="J22" s="3"/>
      <c r="K22" s="3"/>
    </row>
    <row r="23" spans="1:11">
      <c r="A23" s="8" t="s">
        <v>200</v>
      </c>
      <c r="B23" s="3" t="s">
        <v>201</v>
      </c>
      <c r="C23" s="3" t="s">
        <v>100</v>
      </c>
      <c r="D23" s="5">
        <v>2</v>
      </c>
      <c r="E23" s="13">
        <v>12</v>
      </c>
      <c r="F23" s="4">
        <f t="shared" si="1"/>
        <v>24</v>
      </c>
      <c r="G23" s="4">
        <f>IF(D23="","",D23*Parametri!$B$6)</f>
        <v>5.4</v>
      </c>
      <c r="H23" s="4">
        <f t="shared" si="0"/>
        <v>18.600000000000001</v>
      </c>
      <c r="I23" s="3" t="s">
        <v>101</v>
      </c>
      <c r="J23" s="3" t="s">
        <v>134</v>
      </c>
      <c r="K23" s="3" t="s">
        <v>205</v>
      </c>
    </row>
    <row r="24" spans="1:11">
      <c r="A24" s="8" t="s">
        <v>200</v>
      </c>
      <c r="B24" s="3" t="s">
        <v>202</v>
      </c>
      <c r="C24" s="3" t="s">
        <v>100</v>
      </c>
      <c r="D24" s="5">
        <v>3</v>
      </c>
      <c r="E24" s="13">
        <v>15</v>
      </c>
      <c r="F24" s="4">
        <f t="shared" si="1"/>
        <v>45</v>
      </c>
      <c r="G24" s="4">
        <f>IF(D24="","",D24*Parametri!$B$6)</f>
        <v>8.1000000000000014</v>
      </c>
      <c r="H24" s="4">
        <f t="shared" si="0"/>
        <v>36.9</v>
      </c>
      <c r="I24" s="3" t="s">
        <v>101</v>
      </c>
      <c r="J24" s="3" t="s">
        <v>128</v>
      </c>
      <c r="K24" s="3" t="s">
        <v>204</v>
      </c>
    </row>
    <row r="25" spans="1:11">
      <c r="A25" s="8" t="s">
        <v>200</v>
      </c>
      <c r="B25" s="3" t="s">
        <v>203</v>
      </c>
      <c r="C25" s="3" t="s">
        <v>100</v>
      </c>
      <c r="D25" s="5">
        <v>1</v>
      </c>
      <c r="E25" s="13">
        <v>15</v>
      </c>
      <c r="F25" s="4">
        <f t="shared" si="1"/>
        <v>15</v>
      </c>
      <c r="G25" s="4">
        <f>IF(D25="","",D25*Parametri!$B$6)</f>
        <v>2.7</v>
      </c>
      <c r="H25" s="4">
        <f t="shared" si="0"/>
        <v>12.3</v>
      </c>
      <c r="I25" s="3" t="s">
        <v>101</v>
      </c>
      <c r="J25" s="3" t="s">
        <v>128</v>
      </c>
      <c r="K25" s="3" t="s">
        <v>204</v>
      </c>
    </row>
    <row r="26" spans="1:11">
      <c r="A26" s="8" t="s">
        <v>200</v>
      </c>
      <c r="B26" s="3" t="s">
        <v>140</v>
      </c>
      <c r="C26" s="3" t="s">
        <v>100</v>
      </c>
      <c r="D26" s="5">
        <v>2</v>
      </c>
      <c r="E26" s="13">
        <v>12</v>
      </c>
      <c r="F26" s="4">
        <v>0</v>
      </c>
      <c r="G26" s="4">
        <v>0</v>
      </c>
      <c r="H26" s="4">
        <f t="shared" si="0"/>
        <v>0</v>
      </c>
      <c r="I26" s="3" t="s">
        <v>101</v>
      </c>
      <c r="J26" s="3"/>
      <c r="K26" s="3"/>
    </row>
    <row r="27" spans="1:11">
      <c r="A27" s="8"/>
      <c r="B27" s="3"/>
      <c r="C27" s="3" t="s">
        <v>100</v>
      </c>
      <c r="D27" s="5"/>
      <c r="E27" s="13"/>
      <c r="F27" s="4" t="str">
        <f t="shared" si="1"/>
        <v/>
      </c>
      <c r="G27" s="4" t="str">
        <f>IF(D27="","",D27*Parametri!$B$6)</f>
        <v/>
      </c>
      <c r="H27" s="4" t="str">
        <f t="shared" si="0"/>
        <v/>
      </c>
      <c r="I27" s="3" t="s">
        <v>101</v>
      </c>
      <c r="J27" s="3"/>
      <c r="K27" s="3"/>
    </row>
    <row r="28" spans="1:11">
      <c r="A28" s="8"/>
      <c r="B28" s="3"/>
      <c r="C28" s="3" t="s">
        <v>100</v>
      </c>
      <c r="D28" s="5"/>
      <c r="E28" s="13"/>
      <c r="F28" s="4" t="str">
        <f t="shared" si="1"/>
        <v/>
      </c>
      <c r="G28" s="4" t="str">
        <f>IF(D28="","",D28*Parametri!$B$6)</f>
        <v/>
      </c>
      <c r="H28" s="4" t="str">
        <f t="shared" si="0"/>
        <v/>
      </c>
      <c r="I28" s="3" t="s">
        <v>101</v>
      </c>
      <c r="J28" s="3"/>
      <c r="K28" s="3"/>
    </row>
    <row r="29" spans="1:11">
      <c r="A29" s="8"/>
      <c r="B29" s="3"/>
      <c r="C29" s="3" t="s">
        <v>100</v>
      </c>
      <c r="D29" s="5"/>
      <c r="E29" s="13"/>
      <c r="F29" s="4" t="str">
        <f t="shared" si="1"/>
        <v/>
      </c>
      <c r="G29" s="4" t="str">
        <f>IF(D29="","",D29*Parametri!$B$6)</f>
        <v/>
      </c>
      <c r="H29" s="4" t="str">
        <f t="shared" si="0"/>
        <v/>
      </c>
      <c r="I29" s="3" t="s">
        <v>101</v>
      </c>
      <c r="J29" s="3"/>
      <c r="K29" s="3"/>
    </row>
    <row r="30" spans="1:11">
      <c r="A30" s="8"/>
      <c r="B30" s="3"/>
      <c r="C30" s="3" t="s">
        <v>100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101</v>
      </c>
      <c r="J30" s="3"/>
      <c r="K30" s="3"/>
    </row>
    <row r="31" spans="1:11">
      <c r="A31" s="8"/>
      <c r="B31" s="3"/>
      <c r="C31" s="3" t="s">
        <v>100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101</v>
      </c>
      <c r="J31" s="3"/>
      <c r="K31" s="3"/>
    </row>
    <row r="32" spans="1:11">
      <c r="A32" s="8"/>
      <c r="B32" s="3"/>
      <c r="C32" s="3" t="s">
        <v>100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101</v>
      </c>
      <c r="J32" s="3"/>
      <c r="K32" s="3"/>
    </row>
    <row r="33" spans="1:11">
      <c r="A33" s="8"/>
      <c r="B33" s="3"/>
      <c r="C33" s="3" t="s">
        <v>100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101</v>
      </c>
      <c r="J33" s="3"/>
      <c r="K33" s="3"/>
    </row>
    <row r="34" spans="1:11">
      <c r="A34" s="8"/>
      <c r="B34" s="3"/>
      <c r="C34" s="3" t="s">
        <v>100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101</v>
      </c>
      <c r="J34" s="3"/>
      <c r="K34" s="3"/>
    </row>
    <row r="35" spans="1:11">
      <c r="A35" s="8"/>
      <c r="B35" s="3"/>
      <c r="C35" s="3" t="s">
        <v>100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101</v>
      </c>
      <c r="J35" s="3"/>
      <c r="K35" s="3"/>
    </row>
    <row r="36" spans="1:11">
      <c r="A36" s="8"/>
      <c r="B36" s="3"/>
      <c r="C36" s="3" t="s">
        <v>100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101</v>
      </c>
      <c r="J36" s="3"/>
      <c r="K36" s="3"/>
    </row>
    <row r="37" spans="1:11">
      <c r="A37" s="8"/>
      <c r="B37" s="3"/>
      <c r="C37" s="3" t="s">
        <v>100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101</v>
      </c>
      <c r="J37" s="3"/>
      <c r="K37" s="3"/>
    </row>
    <row r="38" spans="1:11">
      <c r="A38" s="8"/>
      <c r="B38" s="3"/>
      <c r="C38" s="3" t="s">
        <v>100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101</v>
      </c>
      <c r="J38" s="3"/>
      <c r="K38" s="3"/>
    </row>
    <row r="39" spans="1:11">
      <c r="A39" s="8"/>
      <c r="B39" s="3"/>
      <c r="C39" s="3" t="s">
        <v>100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101</v>
      </c>
      <c r="J39" s="3"/>
      <c r="K39" s="3"/>
    </row>
    <row r="40" spans="1:11">
      <c r="A40" s="8"/>
      <c r="B40" s="3"/>
      <c r="C40" s="3" t="s">
        <v>100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101</v>
      </c>
      <c r="J40" s="3"/>
      <c r="K40" s="3"/>
    </row>
    <row r="41" spans="1:11">
      <c r="A41" s="8"/>
      <c r="B41" s="3"/>
      <c r="C41" s="3" t="s">
        <v>100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101</v>
      </c>
      <c r="J41" s="3"/>
      <c r="K41" s="3"/>
    </row>
    <row r="42" spans="1:11">
      <c r="A42" s="8"/>
      <c r="B42" s="3"/>
      <c r="C42" s="3" t="s">
        <v>100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101</v>
      </c>
      <c r="J42" s="3"/>
      <c r="K42" s="3"/>
    </row>
    <row r="43" spans="1:11">
      <c r="A43" s="8"/>
      <c r="B43" s="3"/>
      <c r="C43" s="3" t="s">
        <v>100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101</v>
      </c>
      <c r="J43" s="3"/>
      <c r="K43" s="3"/>
    </row>
    <row r="44" spans="1:11">
      <c r="A44" s="8"/>
      <c r="B44" s="3"/>
      <c r="C44" s="3" t="s">
        <v>100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101</v>
      </c>
      <c r="J44" s="3"/>
      <c r="K44" s="3"/>
    </row>
    <row r="45" spans="1:11">
      <c r="A45" s="8"/>
      <c r="B45" s="3"/>
      <c r="C45" s="3" t="s">
        <v>100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101</v>
      </c>
      <c r="J45" s="3"/>
      <c r="K45" s="3"/>
    </row>
    <row r="46" spans="1:11">
      <c r="A46" s="8"/>
      <c r="B46" s="3"/>
      <c r="C46" s="3" t="s">
        <v>100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101</v>
      </c>
      <c r="J46" s="3"/>
      <c r="K46" s="3"/>
    </row>
    <row r="47" spans="1:11">
      <c r="A47" s="8"/>
      <c r="B47" s="3"/>
      <c r="C47" s="3" t="s">
        <v>100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101</v>
      </c>
      <c r="J47" s="3"/>
      <c r="K47" s="3"/>
    </row>
    <row r="48" spans="1:11">
      <c r="A48" s="8"/>
      <c r="B48" s="3"/>
      <c r="C48" s="3" t="s">
        <v>100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101</v>
      </c>
      <c r="J48" s="3"/>
      <c r="K48" s="3"/>
    </row>
    <row r="49" spans="1:11">
      <c r="A49" s="8"/>
      <c r="B49" s="3"/>
      <c r="C49" s="3" t="s">
        <v>100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101</v>
      </c>
      <c r="J49" s="3"/>
      <c r="K49" s="3"/>
    </row>
    <row r="50" spans="1:11">
      <c r="A50" s="8"/>
      <c r="B50" s="3"/>
      <c r="C50" s="3" t="s">
        <v>100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101</v>
      </c>
      <c r="J50" s="3"/>
      <c r="K50" s="3"/>
    </row>
    <row r="51" spans="1:11">
      <c r="A51" s="8"/>
      <c r="B51" s="3"/>
      <c r="C51" s="3" t="s">
        <v>100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101</v>
      </c>
      <c r="J51" s="3"/>
      <c r="K51" s="3"/>
    </row>
    <row r="52" spans="1:11">
      <c r="A52" s="8"/>
      <c r="B52" s="3"/>
      <c r="C52" s="3" t="s">
        <v>100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101</v>
      </c>
      <c r="J52" s="3"/>
      <c r="K52" s="3"/>
    </row>
    <row r="53" spans="1:11">
      <c r="A53" s="8"/>
      <c r="B53" s="3"/>
      <c r="C53" s="3" t="s">
        <v>100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101</v>
      </c>
      <c r="J53" s="3"/>
      <c r="K53" s="3"/>
    </row>
    <row r="54" spans="1:11">
      <c r="A54" s="8"/>
      <c r="B54" s="3"/>
      <c r="C54" s="3" t="s">
        <v>100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101</v>
      </c>
      <c r="J54" s="3"/>
      <c r="K54" s="3"/>
    </row>
    <row r="55" spans="1:11">
      <c r="A55" s="8"/>
      <c r="B55" s="3"/>
      <c r="C55" s="3" t="s">
        <v>100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101</v>
      </c>
      <c r="J55" s="3"/>
      <c r="K55" s="3"/>
    </row>
    <row r="56" spans="1:11">
      <c r="A56" s="8"/>
      <c r="B56" s="3"/>
      <c r="C56" s="3" t="s">
        <v>100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101</v>
      </c>
      <c r="J56" s="3"/>
      <c r="K56" s="3"/>
    </row>
    <row r="57" spans="1:11">
      <c r="A57" s="8"/>
      <c r="B57" s="3"/>
      <c r="C57" s="3" t="s">
        <v>100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101</v>
      </c>
      <c r="J57" s="3"/>
      <c r="K57" s="3"/>
    </row>
    <row r="58" spans="1:11">
      <c r="A58" s="8"/>
      <c r="B58" s="3"/>
      <c r="C58" s="3" t="s">
        <v>100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101</v>
      </c>
      <c r="J58" s="3"/>
      <c r="K58" s="3"/>
    </row>
    <row r="59" spans="1:11">
      <c r="A59" s="8"/>
      <c r="B59" s="3"/>
      <c r="C59" s="3" t="s">
        <v>100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101</v>
      </c>
      <c r="J59" s="3"/>
      <c r="K59" s="3"/>
    </row>
    <row r="60" spans="1:11">
      <c r="A60" s="8"/>
      <c r="B60" s="3"/>
      <c r="C60" s="3" t="s">
        <v>100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101</v>
      </c>
      <c r="J60" s="3"/>
      <c r="K60" s="3"/>
    </row>
    <row r="61" spans="1:11">
      <c r="A61" s="8"/>
      <c r="B61" s="3"/>
      <c r="C61" s="3" t="s">
        <v>100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101</v>
      </c>
      <c r="J61" s="3"/>
      <c r="K61" s="3"/>
    </row>
    <row r="62" spans="1:11">
      <c r="A62" s="8"/>
      <c r="B62" s="3"/>
      <c r="C62" s="3" t="s">
        <v>100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101</v>
      </c>
      <c r="J62" s="3"/>
      <c r="K62" s="3"/>
    </row>
    <row r="63" spans="1:11">
      <c r="A63" s="8"/>
      <c r="B63" s="3"/>
      <c r="C63" s="3" t="s">
        <v>100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101</v>
      </c>
      <c r="J63" s="3"/>
      <c r="K63" s="3"/>
    </row>
    <row r="64" spans="1:11">
      <c r="A64" s="8"/>
      <c r="B64" s="3"/>
      <c r="C64" s="3" t="s">
        <v>100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101</v>
      </c>
      <c r="J64" s="3"/>
      <c r="K64" s="3"/>
    </row>
    <row r="65" spans="1:11">
      <c r="A65" s="8"/>
      <c r="B65" s="3"/>
      <c r="C65" s="3" t="s">
        <v>100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101</v>
      </c>
      <c r="J65" s="3"/>
      <c r="K65" s="3"/>
    </row>
    <row r="66" spans="1:11">
      <c r="A66" s="8"/>
      <c r="B66" s="3"/>
      <c r="C66" s="3" t="s">
        <v>100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101</v>
      </c>
      <c r="J66" s="3"/>
      <c r="K66" s="3"/>
    </row>
    <row r="67" spans="1:11">
      <c r="A67" s="8"/>
      <c r="B67" s="3"/>
      <c r="C67" s="3" t="s">
        <v>100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101</v>
      </c>
      <c r="J67" s="3"/>
      <c r="K67" s="3"/>
    </row>
    <row r="68" spans="1:11">
      <c r="A68" s="8"/>
      <c r="B68" s="3"/>
      <c r="C68" s="3" t="s">
        <v>100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101</v>
      </c>
      <c r="J68" s="3"/>
      <c r="K68" s="3"/>
    </row>
    <row r="69" spans="1:11">
      <c r="A69" s="8"/>
      <c r="B69" s="3"/>
      <c r="C69" s="3" t="s">
        <v>100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101</v>
      </c>
      <c r="J69" s="3"/>
      <c r="K69" s="3"/>
    </row>
    <row r="70" spans="1:11">
      <c r="A70" s="8"/>
      <c r="B70" s="3"/>
      <c r="C70" s="3" t="s">
        <v>100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101</v>
      </c>
      <c r="J70" s="3"/>
      <c r="K70" s="3"/>
    </row>
    <row r="71" spans="1:11">
      <c r="A71" s="8"/>
      <c r="B71" s="3"/>
      <c r="C71" s="3" t="s">
        <v>100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101</v>
      </c>
      <c r="J71" s="3"/>
      <c r="K71" s="3"/>
    </row>
    <row r="72" spans="1:11">
      <c r="A72" s="8"/>
      <c r="B72" s="3"/>
      <c r="C72" s="3" t="s">
        <v>100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101</v>
      </c>
      <c r="J72" s="3"/>
      <c r="K72" s="3"/>
    </row>
    <row r="73" spans="1:11">
      <c r="A73" s="8"/>
      <c r="B73" s="3"/>
      <c r="C73" s="3" t="s">
        <v>100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101</v>
      </c>
      <c r="J73" s="3"/>
      <c r="K73" s="3"/>
    </row>
    <row r="74" spans="1:11">
      <c r="A74" s="8"/>
      <c r="B74" s="3"/>
      <c r="C74" s="3" t="s">
        <v>100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101</v>
      </c>
      <c r="J74" s="3"/>
      <c r="K74" s="3"/>
    </row>
    <row r="75" spans="1:11">
      <c r="A75" s="8"/>
      <c r="B75" s="3"/>
      <c r="C75" s="3" t="s">
        <v>100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101</v>
      </c>
      <c r="J75" s="3"/>
      <c r="K75" s="3"/>
    </row>
    <row r="76" spans="1:11">
      <c r="A76" s="8"/>
      <c r="B76" s="3"/>
      <c r="C76" s="3" t="s">
        <v>100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101</v>
      </c>
      <c r="J76" s="3"/>
      <c r="K76" s="3"/>
    </row>
    <row r="77" spans="1:11">
      <c r="A77" s="8"/>
      <c r="B77" s="3"/>
      <c r="C77" s="3" t="s">
        <v>100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101</v>
      </c>
      <c r="J77" s="3"/>
      <c r="K77" s="3"/>
    </row>
    <row r="78" spans="1:11">
      <c r="A78" s="8"/>
      <c r="B78" s="3"/>
      <c r="C78" s="3" t="s">
        <v>100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101</v>
      </c>
      <c r="J78" s="3"/>
      <c r="K78" s="3"/>
    </row>
    <row r="79" spans="1:11">
      <c r="A79" s="8"/>
      <c r="B79" s="3"/>
      <c r="C79" s="3" t="s">
        <v>100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101</v>
      </c>
      <c r="J79" s="3"/>
      <c r="K79" s="3"/>
    </row>
    <row r="80" spans="1:11">
      <c r="A80" s="8"/>
      <c r="B80" s="3"/>
      <c r="C80" s="3" t="s">
        <v>100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101</v>
      </c>
      <c r="J80" s="3"/>
      <c r="K80" s="3"/>
    </row>
    <row r="81" spans="1:11">
      <c r="A81" s="8"/>
      <c r="B81" s="3"/>
      <c r="C81" s="3" t="s">
        <v>100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101</v>
      </c>
      <c r="J81" s="3"/>
      <c r="K81" s="3"/>
    </row>
    <row r="82" spans="1:11">
      <c r="A82" s="8"/>
      <c r="B82" s="3"/>
      <c r="C82" s="3" t="s">
        <v>100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101</v>
      </c>
      <c r="J82" s="3"/>
      <c r="K82" s="3"/>
    </row>
    <row r="83" spans="1:11">
      <c r="A83" s="8"/>
      <c r="B83" s="3"/>
      <c r="C83" s="3" t="s">
        <v>100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101</v>
      </c>
      <c r="J83" s="3"/>
      <c r="K83" s="3"/>
    </row>
    <row r="84" spans="1:11">
      <c r="A84" s="8"/>
      <c r="B84" s="3"/>
      <c r="C84" s="3" t="s">
        <v>100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101</v>
      </c>
      <c r="J84" s="3"/>
      <c r="K84" s="3"/>
    </row>
    <row r="85" spans="1:11">
      <c r="A85" s="8"/>
      <c r="B85" s="3"/>
      <c r="C85" s="3" t="s">
        <v>100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101</v>
      </c>
      <c r="J85" s="3"/>
      <c r="K85" s="3"/>
    </row>
    <row r="86" spans="1:11">
      <c r="A86" s="8"/>
      <c r="B86" s="3"/>
      <c r="C86" s="3" t="s">
        <v>100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101</v>
      </c>
      <c r="J86" s="3"/>
      <c r="K86" s="3"/>
    </row>
    <row r="87" spans="1:11">
      <c r="A87" s="8"/>
      <c r="B87" s="3"/>
      <c r="C87" s="3" t="s">
        <v>100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101</v>
      </c>
      <c r="J87" s="3"/>
      <c r="K87" s="3"/>
    </row>
    <row r="88" spans="1:11">
      <c r="A88" s="8"/>
      <c r="B88" s="3"/>
      <c r="C88" s="3" t="s">
        <v>100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101</v>
      </c>
      <c r="J88" s="3"/>
      <c r="K88" s="3"/>
    </row>
    <row r="89" spans="1:11">
      <c r="A89" s="8"/>
      <c r="B89" s="3"/>
      <c r="C89" s="3" t="s">
        <v>100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101</v>
      </c>
      <c r="J89" s="3"/>
      <c r="K89" s="3"/>
    </row>
    <row r="90" spans="1:11">
      <c r="A90" s="8"/>
      <c r="B90" s="3"/>
      <c r="C90" s="3" t="s">
        <v>100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101</v>
      </c>
      <c r="J90" s="3"/>
      <c r="K90" s="3"/>
    </row>
    <row r="91" spans="1:11">
      <c r="A91" s="8"/>
      <c r="B91" s="3"/>
      <c r="C91" s="3" t="s">
        <v>100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101</v>
      </c>
      <c r="J91" s="3"/>
      <c r="K91" s="3"/>
    </row>
    <row r="92" spans="1:11">
      <c r="A92" s="8"/>
      <c r="B92" s="3"/>
      <c r="C92" s="3" t="s">
        <v>100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101</v>
      </c>
      <c r="J92" s="3"/>
      <c r="K92" s="3"/>
    </row>
    <row r="93" spans="1:11">
      <c r="A93" s="8"/>
      <c r="B93" s="3"/>
      <c r="C93" s="3" t="s">
        <v>100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101</v>
      </c>
      <c r="J93" s="3"/>
      <c r="K93" s="3"/>
    </row>
    <row r="94" spans="1:11">
      <c r="A94" s="8"/>
      <c r="B94" s="3"/>
      <c r="C94" s="3" t="s">
        <v>100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101</v>
      </c>
      <c r="J94" s="3"/>
      <c r="K94" s="3"/>
    </row>
    <row r="95" spans="1:11">
      <c r="A95" s="8"/>
      <c r="B95" s="3"/>
      <c r="C95" s="3" t="s">
        <v>100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101</v>
      </c>
      <c r="J95" s="3"/>
      <c r="K95" s="3"/>
    </row>
    <row r="96" spans="1:11">
      <c r="A96" s="8"/>
      <c r="B96" s="3"/>
      <c r="C96" s="3" t="s">
        <v>100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101</v>
      </c>
      <c r="J96" s="3"/>
      <c r="K96" s="3"/>
    </row>
    <row r="97" spans="1:11">
      <c r="A97" s="8"/>
      <c r="B97" s="3"/>
      <c r="C97" s="3" t="s">
        <v>100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101</v>
      </c>
      <c r="J97" s="3"/>
      <c r="K97" s="3"/>
    </row>
    <row r="98" spans="1:11">
      <c r="A98" s="8"/>
      <c r="B98" s="3"/>
      <c r="C98" s="3" t="s">
        <v>100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101</v>
      </c>
      <c r="J98" s="3"/>
      <c r="K98" s="3"/>
    </row>
    <row r="99" spans="1:11">
      <c r="A99" s="8"/>
      <c r="B99" s="3"/>
      <c r="C99" s="3" t="s">
        <v>100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101</v>
      </c>
      <c r="J99" s="3"/>
      <c r="K99" s="3"/>
    </row>
    <row r="100" spans="1:11">
      <c r="A100" s="8"/>
      <c r="B100" s="3"/>
      <c r="C100" s="3" t="s">
        <v>100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101</v>
      </c>
      <c r="J100" s="3"/>
      <c r="K100" s="3"/>
    </row>
    <row r="101" spans="1:11">
      <c r="A101" s="8"/>
      <c r="B101" s="3"/>
      <c r="C101" s="3" t="s">
        <v>100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101</v>
      </c>
      <c r="J101" s="3"/>
      <c r="K101" s="3"/>
    </row>
    <row r="102" spans="1:11">
      <c r="A102" s="8"/>
      <c r="B102" s="3"/>
      <c r="C102" s="3" t="s">
        <v>100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101</v>
      </c>
      <c r="J102" s="3"/>
      <c r="K102" s="3"/>
    </row>
    <row r="103" spans="1:11">
      <c r="A103" s="8"/>
      <c r="B103" s="3"/>
      <c r="C103" s="3" t="s">
        <v>100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101</v>
      </c>
      <c r="J103" s="3"/>
      <c r="K103" s="3"/>
    </row>
    <row r="104" spans="1:11">
      <c r="A104" s="8"/>
      <c r="B104" s="3"/>
      <c r="C104" s="3" t="s">
        <v>100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101</v>
      </c>
      <c r="J104" s="3"/>
      <c r="K104" s="3"/>
    </row>
    <row r="105" spans="1:11">
      <c r="A105" s="8"/>
      <c r="B105" s="3"/>
      <c r="C105" s="3" t="s">
        <v>100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101</v>
      </c>
      <c r="J105" s="3"/>
      <c r="K105" s="3"/>
    </row>
    <row r="106" spans="1:11">
      <c r="A106" s="8"/>
      <c r="B106" s="3"/>
      <c r="C106" s="3" t="s">
        <v>100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101</v>
      </c>
      <c r="J106" s="3"/>
      <c r="K106" s="3"/>
    </row>
    <row r="107" spans="1:11">
      <c r="A107" s="8"/>
      <c r="B107" s="3"/>
      <c r="C107" s="3" t="s">
        <v>100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101</v>
      </c>
      <c r="J107" s="3"/>
      <c r="K107" s="3"/>
    </row>
    <row r="108" spans="1:11">
      <c r="A108" s="8"/>
      <c r="B108" s="3"/>
      <c r="C108" s="3" t="s">
        <v>100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101</v>
      </c>
      <c r="J108" s="3"/>
      <c r="K108" s="3"/>
    </row>
    <row r="109" spans="1:11">
      <c r="A109" s="8"/>
      <c r="B109" s="3"/>
      <c r="C109" s="3" t="s">
        <v>100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101</v>
      </c>
      <c r="J109" s="3"/>
      <c r="K109" s="3"/>
    </row>
    <row r="110" spans="1:11">
      <c r="A110" s="8"/>
      <c r="B110" s="3"/>
      <c r="C110" s="3" t="s">
        <v>100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101</v>
      </c>
      <c r="J110" s="3"/>
      <c r="K110" s="3"/>
    </row>
    <row r="111" spans="1:11">
      <c r="A111" s="8"/>
      <c r="B111" s="3"/>
      <c r="C111" s="3" t="s">
        <v>100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101</v>
      </c>
      <c r="J111" s="3"/>
      <c r="K111" s="3"/>
    </row>
    <row r="112" spans="1:11">
      <c r="A112" s="8"/>
      <c r="B112" s="3"/>
      <c r="C112" s="3" t="s">
        <v>100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101</v>
      </c>
      <c r="J112" s="3"/>
      <c r="K112" s="3"/>
    </row>
    <row r="113" spans="1:11">
      <c r="A113" s="8"/>
      <c r="B113" s="3"/>
      <c r="C113" s="3" t="s">
        <v>100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101</v>
      </c>
      <c r="J113" s="3"/>
      <c r="K113" s="3"/>
    </row>
    <row r="114" spans="1:11">
      <c r="A114" s="8"/>
      <c r="B114" s="3"/>
      <c r="C114" s="3" t="s">
        <v>100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101</v>
      </c>
      <c r="J114" s="3"/>
      <c r="K114" s="3"/>
    </row>
    <row r="115" spans="1:11">
      <c r="A115" s="8"/>
      <c r="B115" s="3"/>
      <c r="C115" s="3" t="s">
        <v>100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101</v>
      </c>
      <c r="J115" s="3"/>
      <c r="K115" s="3"/>
    </row>
    <row r="116" spans="1:11">
      <c r="A116" s="8"/>
      <c r="B116" s="3"/>
      <c r="C116" s="3" t="s">
        <v>100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101</v>
      </c>
      <c r="J116" s="3"/>
      <c r="K116" s="3"/>
    </row>
    <row r="117" spans="1:11">
      <c r="A117" s="8"/>
      <c r="B117" s="3"/>
      <c r="C117" s="3" t="s">
        <v>100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101</v>
      </c>
      <c r="J117" s="3"/>
      <c r="K117" s="3"/>
    </row>
    <row r="118" spans="1:11">
      <c r="A118" s="8"/>
      <c r="B118" s="3"/>
      <c r="C118" s="3" t="s">
        <v>100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101</v>
      </c>
      <c r="J118" s="3"/>
      <c r="K118" s="3"/>
    </row>
    <row r="119" spans="1:11">
      <c r="A119" s="8"/>
      <c r="B119" s="3"/>
      <c r="C119" s="3" t="s">
        <v>100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101</v>
      </c>
      <c r="J119" s="3"/>
      <c r="K119" s="3"/>
    </row>
    <row r="120" spans="1:11">
      <c r="A120" s="8"/>
      <c r="B120" s="3"/>
      <c r="C120" s="3" t="s">
        <v>100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101</v>
      </c>
      <c r="J120" s="3"/>
      <c r="K120" s="3"/>
    </row>
    <row r="121" spans="1:11">
      <c r="A121" s="8"/>
      <c r="B121" s="3"/>
      <c r="C121" s="3" t="s">
        <v>100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101</v>
      </c>
      <c r="J121" s="3"/>
      <c r="K121" s="3"/>
    </row>
    <row r="122" spans="1:11">
      <c r="A122" s="8"/>
      <c r="B122" s="3"/>
      <c r="C122" s="3" t="s">
        <v>100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101</v>
      </c>
      <c r="J122" s="3"/>
      <c r="K122" s="3"/>
    </row>
    <row r="123" spans="1:11">
      <c r="A123" s="8"/>
      <c r="B123" s="3"/>
      <c r="C123" s="3" t="s">
        <v>100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101</v>
      </c>
      <c r="J123" s="3"/>
      <c r="K123" s="3"/>
    </row>
    <row r="124" spans="1:11">
      <c r="A124" s="8"/>
      <c r="B124" s="3"/>
      <c r="C124" s="3" t="s">
        <v>100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101</v>
      </c>
      <c r="J124" s="3"/>
      <c r="K124" s="3"/>
    </row>
    <row r="125" spans="1:11">
      <c r="A125" s="8"/>
      <c r="B125" s="3"/>
      <c r="C125" s="3" t="s">
        <v>100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101</v>
      </c>
      <c r="J125" s="3"/>
      <c r="K125" s="3"/>
    </row>
    <row r="126" spans="1:11">
      <c r="A126" s="8"/>
      <c r="B126" s="3"/>
      <c r="C126" s="3" t="s">
        <v>100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101</v>
      </c>
      <c r="J126" s="3"/>
      <c r="K126" s="3"/>
    </row>
    <row r="127" spans="1:11">
      <c r="A127" s="8"/>
      <c r="B127" s="3"/>
      <c r="C127" s="3" t="s">
        <v>100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101</v>
      </c>
      <c r="J127" s="3"/>
      <c r="K127" s="3"/>
    </row>
    <row r="128" spans="1:11">
      <c r="A128" s="8"/>
      <c r="B128" s="3"/>
      <c r="C128" s="3" t="s">
        <v>100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101</v>
      </c>
      <c r="J128" s="3"/>
      <c r="K128" s="3"/>
    </row>
    <row r="129" spans="1:11">
      <c r="A129" s="8"/>
      <c r="B129" s="3"/>
      <c r="C129" s="3" t="s">
        <v>100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101</v>
      </c>
      <c r="J129" s="3"/>
      <c r="K129" s="3"/>
    </row>
    <row r="130" spans="1:11">
      <c r="A130" s="8"/>
      <c r="B130" s="3"/>
      <c r="C130" s="3" t="s">
        <v>100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101</v>
      </c>
      <c r="J130" s="3"/>
      <c r="K130" s="3"/>
    </row>
    <row r="131" spans="1:11">
      <c r="A131" s="8"/>
      <c r="B131" s="3"/>
      <c r="C131" s="3" t="s">
        <v>100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101</v>
      </c>
      <c r="J131" s="3"/>
      <c r="K131" s="3"/>
    </row>
    <row r="132" spans="1:11">
      <c r="A132" s="8"/>
      <c r="B132" s="3"/>
      <c r="C132" s="3" t="s">
        <v>100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101</v>
      </c>
      <c r="J132" s="3"/>
      <c r="K132" s="3"/>
    </row>
    <row r="133" spans="1:11">
      <c r="A133" s="8"/>
      <c r="B133" s="3"/>
      <c r="C133" s="3" t="s">
        <v>100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101</v>
      </c>
      <c r="J133" s="3"/>
      <c r="K133" s="3"/>
    </row>
    <row r="134" spans="1:11">
      <c r="A134" s="8"/>
      <c r="B134" s="3"/>
      <c r="C134" s="3" t="s">
        <v>100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101</v>
      </c>
      <c r="J134" s="3"/>
      <c r="K134" s="3"/>
    </row>
    <row r="135" spans="1:11">
      <c r="A135" s="8"/>
      <c r="B135" s="3"/>
      <c r="C135" s="3" t="s">
        <v>100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101</v>
      </c>
      <c r="J135" s="3"/>
      <c r="K135" s="3"/>
    </row>
    <row r="136" spans="1:11">
      <c r="A136" s="8"/>
      <c r="B136" s="3"/>
      <c r="C136" s="3" t="s">
        <v>100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101</v>
      </c>
      <c r="J136" s="3"/>
      <c r="K136" s="3"/>
    </row>
    <row r="137" spans="1:11">
      <c r="A137" s="8"/>
      <c r="B137" s="3"/>
      <c r="C137" s="3" t="s">
        <v>100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101</v>
      </c>
      <c r="J137" s="3"/>
      <c r="K137" s="3"/>
    </row>
    <row r="138" spans="1:11">
      <c r="A138" s="8"/>
      <c r="B138" s="3"/>
      <c r="C138" s="3" t="s">
        <v>100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101</v>
      </c>
      <c r="J138" s="3"/>
      <c r="K138" s="3"/>
    </row>
    <row r="139" spans="1:11">
      <c r="A139" s="8"/>
      <c r="B139" s="3"/>
      <c r="C139" s="3" t="s">
        <v>100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101</v>
      </c>
      <c r="J139" s="3"/>
      <c r="K139" s="3"/>
    </row>
    <row r="140" spans="1:11">
      <c r="A140" s="8"/>
      <c r="B140" s="3"/>
      <c r="C140" s="3" t="s">
        <v>100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101</v>
      </c>
      <c r="J140" s="3"/>
      <c r="K140" s="3"/>
    </row>
    <row r="141" spans="1:11">
      <c r="A141" s="8"/>
      <c r="B141" s="3"/>
      <c r="C141" s="3" t="s">
        <v>100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101</v>
      </c>
      <c r="J141" s="3"/>
      <c r="K141" s="3"/>
    </row>
    <row r="142" spans="1:11">
      <c r="A142" s="8"/>
      <c r="B142" s="3"/>
      <c r="C142" s="3" t="s">
        <v>100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101</v>
      </c>
      <c r="J142" s="3"/>
      <c r="K142" s="3"/>
    </row>
    <row r="143" spans="1:11">
      <c r="A143" s="8"/>
      <c r="B143" s="3"/>
      <c r="C143" s="3" t="s">
        <v>100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101</v>
      </c>
      <c r="J143" s="3"/>
      <c r="K143" s="3"/>
    </row>
    <row r="144" spans="1:11">
      <c r="A144" s="8"/>
      <c r="B144" s="3"/>
      <c r="C144" s="3" t="s">
        <v>100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101</v>
      </c>
      <c r="J144" s="3"/>
      <c r="K144" s="3"/>
    </row>
    <row r="145" spans="1:11">
      <c r="A145" s="8"/>
      <c r="B145" s="3"/>
      <c r="C145" s="3" t="s">
        <v>100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101</v>
      </c>
      <c r="J145" s="3"/>
      <c r="K145" s="3"/>
    </row>
    <row r="146" spans="1:11">
      <c r="A146" s="8"/>
      <c r="B146" s="3"/>
      <c r="C146" s="3" t="s">
        <v>100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101</v>
      </c>
      <c r="J146" s="3"/>
      <c r="K146" s="3"/>
    </row>
    <row r="147" spans="1:11">
      <c r="A147" s="8"/>
      <c r="B147" s="3"/>
      <c r="C147" s="3" t="s">
        <v>100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101</v>
      </c>
      <c r="J147" s="3"/>
      <c r="K147" s="3"/>
    </row>
    <row r="148" spans="1:11">
      <c r="A148" s="8"/>
      <c r="B148" s="3"/>
      <c r="C148" s="3" t="s">
        <v>100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101</v>
      </c>
      <c r="J148" s="3"/>
      <c r="K148" s="3"/>
    </row>
    <row r="149" spans="1:11">
      <c r="A149" s="8"/>
      <c r="B149" s="3"/>
      <c r="C149" s="3" t="s">
        <v>100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101</v>
      </c>
      <c r="J149" s="3"/>
      <c r="K149" s="3"/>
    </row>
    <row r="150" spans="1:11">
      <c r="A150" s="8"/>
      <c r="B150" s="3"/>
      <c r="C150" s="3" t="s">
        <v>100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101</v>
      </c>
      <c r="J150" s="3"/>
      <c r="K150" s="3"/>
    </row>
    <row r="151" spans="1:11">
      <c r="A151" s="8"/>
      <c r="B151" s="3"/>
      <c r="C151" s="3" t="s">
        <v>100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101</v>
      </c>
      <c r="J151" s="3"/>
      <c r="K151" s="3"/>
    </row>
    <row r="152" spans="1:11">
      <c r="A152" s="8"/>
      <c r="B152" s="3"/>
      <c r="C152" s="3" t="s">
        <v>100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101</v>
      </c>
      <c r="J152" s="3"/>
      <c r="K152" s="3"/>
    </row>
    <row r="153" spans="1:11">
      <c r="A153" s="8"/>
      <c r="B153" s="3"/>
      <c r="C153" s="3" t="s">
        <v>100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101</v>
      </c>
      <c r="J153" s="3"/>
      <c r="K153" s="3"/>
    </row>
    <row r="154" spans="1:11">
      <c r="A154" s="8"/>
      <c r="B154" s="3"/>
      <c r="C154" s="3" t="s">
        <v>100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101</v>
      </c>
      <c r="J154" s="3"/>
      <c r="K154" s="3"/>
    </row>
    <row r="155" spans="1:11">
      <c r="A155" s="8"/>
      <c r="B155" s="3"/>
      <c r="C155" s="3" t="s">
        <v>100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101</v>
      </c>
      <c r="J155" s="3"/>
      <c r="K155" s="3"/>
    </row>
    <row r="156" spans="1:11">
      <c r="A156" s="8"/>
      <c r="B156" s="3"/>
      <c r="C156" s="3" t="s">
        <v>100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101</v>
      </c>
      <c r="J156" s="3"/>
      <c r="K156" s="3"/>
    </row>
    <row r="157" spans="1:11">
      <c r="A157" s="8"/>
      <c r="B157" s="3"/>
      <c r="C157" s="3" t="s">
        <v>100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101</v>
      </c>
      <c r="J157" s="3"/>
      <c r="K157" s="3"/>
    </row>
    <row r="158" spans="1:11">
      <c r="A158" s="8"/>
      <c r="B158" s="3"/>
      <c r="C158" s="3" t="s">
        <v>100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101</v>
      </c>
      <c r="J158" s="3"/>
      <c r="K158" s="3"/>
    </row>
    <row r="159" spans="1:11">
      <c r="A159" s="8"/>
      <c r="B159" s="3"/>
      <c r="C159" s="3" t="s">
        <v>100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101</v>
      </c>
      <c r="J159" s="3"/>
      <c r="K159" s="3"/>
    </row>
    <row r="160" spans="1:11">
      <c r="A160" s="8"/>
      <c r="B160" s="3"/>
      <c r="C160" s="3" t="s">
        <v>100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101</v>
      </c>
      <c r="J160" s="3"/>
      <c r="K160" s="3"/>
    </row>
    <row r="161" spans="1:11">
      <c r="A161" s="8"/>
      <c r="B161" s="3"/>
      <c r="C161" s="3" t="s">
        <v>100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101</v>
      </c>
      <c r="J161" s="3"/>
      <c r="K161" s="3"/>
    </row>
    <row r="162" spans="1:11">
      <c r="A162" s="8"/>
      <c r="B162" s="3"/>
      <c r="C162" s="3" t="s">
        <v>100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101</v>
      </c>
      <c r="J162" s="3"/>
      <c r="K162" s="3"/>
    </row>
    <row r="163" spans="1:11">
      <c r="A163" s="8"/>
      <c r="B163" s="3"/>
      <c r="C163" s="3" t="s">
        <v>100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101</v>
      </c>
      <c r="J163" s="3"/>
      <c r="K163" s="3"/>
    </row>
    <row r="164" spans="1:11">
      <c r="A164" s="8"/>
      <c r="B164" s="3"/>
      <c r="C164" s="3" t="s">
        <v>100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101</v>
      </c>
      <c r="J164" s="3"/>
      <c r="K164" s="3"/>
    </row>
    <row r="165" spans="1:11">
      <c r="A165" s="8"/>
      <c r="B165" s="3"/>
      <c r="C165" s="3" t="s">
        <v>100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101</v>
      </c>
      <c r="J165" s="3"/>
      <c r="K165" s="3"/>
    </row>
    <row r="166" spans="1:11">
      <c r="A166" s="8"/>
      <c r="B166" s="3"/>
      <c r="C166" s="3" t="s">
        <v>100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101</v>
      </c>
      <c r="J166" s="3"/>
      <c r="K166" s="3"/>
    </row>
    <row r="167" spans="1:11">
      <c r="A167" s="8"/>
      <c r="B167" s="3"/>
      <c r="C167" s="3" t="s">
        <v>100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101</v>
      </c>
      <c r="J167" s="3"/>
      <c r="K167" s="3"/>
    </row>
    <row r="168" spans="1:11">
      <c r="A168" s="8"/>
      <c r="B168" s="3"/>
      <c r="C168" s="3" t="s">
        <v>100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101</v>
      </c>
      <c r="J168" s="3"/>
      <c r="K168" s="3"/>
    </row>
    <row r="169" spans="1:11">
      <c r="A169" s="8"/>
      <c r="B169" s="3"/>
      <c r="C169" s="3" t="s">
        <v>100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101</v>
      </c>
      <c r="J169" s="3"/>
      <c r="K169" s="3"/>
    </row>
    <row r="170" spans="1:11">
      <c r="A170" s="8"/>
      <c r="B170" s="3"/>
      <c r="C170" s="3" t="s">
        <v>100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101</v>
      </c>
      <c r="J170" s="3"/>
      <c r="K170" s="3"/>
    </row>
    <row r="171" spans="1:11">
      <c r="A171" s="8"/>
      <c r="B171" s="3"/>
      <c r="C171" s="3" t="s">
        <v>100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101</v>
      </c>
      <c r="J171" s="3"/>
      <c r="K171" s="3"/>
    </row>
    <row r="172" spans="1:11">
      <c r="A172" s="8"/>
      <c r="B172" s="3"/>
      <c r="C172" s="3" t="s">
        <v>100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101</v>
      </c>
      <c r="J172" s="3"/>
      <c r="K172" s="3"/>
    </row>
    <row r="173" spans="1:11">
      <c r="A173" s="8"/>
      <c r="B173" s="3"/>
      <c r="C173" s="3" t="s">
        <v>100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101</v>
      </c>
      <c r="J173" s="3"/>
      <c r="K173" s="3"/>
    </row>
    <row r="174" spans="1:11">
      <c r="A174" s="8"/>
      <c r="B174" s="3"/>
      <c r="C174" s="3" t="s">
        <v>100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101</v>
      </c>
      <c r="J174" s="3"/>
      <c r="K174" s="3"/>
    </row>
    <row r="175" spans="1:11">
      <c r="A175" s="8"/>
      <c r="B175" s="3"/>
      <c r="C175" s="3" t="s">
        <v>100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101</v>
      </c>
      <c r="J175" s="3"/>
      <c r="K175" s="3"/>
    </row>
    <row r="176" spans="1:11">
      <c r="A176" s="8"/>
      <c r="B176" s="3"/>
      <c r="C176" s="3" t="s">
        <v>100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101</v>
      </c>
      <c r="J176" s="3"/>
      <c r="K176" s="3"/>
    </row>
    <row r="177" spans="1:11">
      <c r="A177" s="8"/>
      <c r="B177" s="3"/>
      <c r="C177" s="3" t="s">
        <v>100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101</v>
      </c>
      <c r="J177" s="3"/>
      <c r="K177" s="3"/>
    </row>
    <row r="178" spans="1:11">
      <c r="A178" s="8"/>
      <c r="B178" s="3"/>
      <c r="C178" s="3" t="s">
        <v>100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101</v>
      </c>
      <c r="J178" s="3"/>
      <c r="K178" s="3"/>
    </row>
    <row r="179" spans="1:11">
      <c r="A179" s="8"/>
      <c r="B179" s="3"/>
      <c r="C179" s="3" t="s">
        <v>100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101</v>
      </c>
      <c r="J179" s="3"/>
      <c r="K179" s="3"/>
    </row>
    <row r="180" spans="1:11">
      <c r="A180" s="8"/>
      <c r="B180" s="3"/>
      <c r="C180" s="3" t="s">
        <v>100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101</v>
      </c>
      <c r="J180" s="3"/>
      <c r="K180" s="3"/>
    </row>
    <row r="181" spans="1:11">
      <c r="A181" s="8"/>
      <c r="B181" s="3"/>
      <c r="C181" s="3" t="s">
        <v>100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101</v>
      </c>
      <c r="J181" s="3"/>
      <c r="K181" s="3"/>
    </row>
    <row r="182" spans="1:11">
      <c r="A182" s="8"/>
      <c r="B182" s="3"/>
      <c r="C182" s="3" t="s">
        <v>100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101</v>
      </c>
      <c r="J182" s="3"/>
      <c r="K182" s="3"/>
    </row>
    <row r="183" spans="1:11">
      <c r="A183" s="8"/>
      <c r="B183" s="3"/>
      <c r="C183" s="3" t="s">
        <v>100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101</v>
      </c>
      <c r="J183" s="3"/>
      <c r="K183" s="3"/>
    </row>
    <row r="184" spans="1:11">
      <c r="A184" s="8"/>
      <c r="B184" s="3"/>
      <c r="C184" s="3" t="s">
        <v>100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101</v>
      </c>
      <c r="J184" s="3"/>
      <c r="K184" s="3"/>
    </row>
    <row r="185" spans="1:11">
      <c r="A185" s="8"/>
      <c r="B185" s="3"/>
      <c r="C185" s="3" t="s">
        <v>100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101</v>
      </c>
      <c r="J185" s="3"/>
      <c r="K185" s="3"/>
    </row>
    <row r="186" spans="1:11">
      <c r="A186" s="8"/>
      <c r="B186" s="3"/>
      <c r="C186" s="3" t="s">
        <v>100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101</v>
      </c>
      <c r="J186" s="3"/>
      <c r="K186" s="3"/>
    </row>
    <row r="187" spans="1:11">
      <c r="A187" s="8"/>
      <c r="B187" s="3"/>
      <c r="C187" s="3" t="s">
        <v>100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101</v>
      </c>
      <c r="J187" s="3"/>
      <c r="K187" s="3"/>
    </row>
    <row r="188" spans="1:11">
      <c r="A188" s="8"/>
      <c r="B188" s="3"/>
      <c r="C188" s="3" t="s">
        <v>100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101</v>
      </c>
      <c r="J188" s="3"/>
      <c r="K188" s="3"/>
    </row>
    <row r="189" spans="1:11">
      <c r="A189" s="8"/>
      <c r="B189" s="3"/>
      <c r="C189" s="3" t="s">
        <v>100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101</v>
      </c>
      <c r="J189" s="3"/>
      <c r="K189" s="3"/>
    </row>
    <row r="190" spans="1:11">
      <c r="A190" s="8"/>
      <c r="B190" s="3"/>
      <c r="C190" s="3" t="s">
        <v>100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101</v>
      </c>
      <c r="J190" s="3"/>
      <c r="K190" s="3"/>
    </row>
    <row r="191" spans="1:11">
      <c r="A191" s="8"/>
      <c r="B191" s="3"/>
      <c r="C191" s="3" t="s">
        <v>100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101</v>
      </c>
      <c r="J191" s="3"/>
      <c r="K191" s="3"/>
    </row>
    <row r="192" spans="1:11">
      <c r="A192" s="8"/>
      <c r="B192" s="3"/>
      <c r="C192" s="3" t="s">
        <v>100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101</v>
      </c>
      <c r="J192" s="3"/>
      <c r="K192" s="3"/>
    </row>
    <row r="193" spans="1:11">
      <c r="A193" s="8"/>
      <c r="B193" s="3"/>
      <c r="C193" s="3" t="s">
        <v>100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101</v>
      </c>
      <c r="J193" s="3"/>
      <c r="K193" s="3"/>
    </row>
    <row r="194" spans="1:11">
      <c r="A194" s="8"/>
      <c r="B194" s="3"/>
      <c r="C194" s="3" t="s">
        <v>100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101</v>
      </c>
      <c r="J194" s="3"/>
      <c r="K194" s="3"/>
    </row>
    <row r="195" spans="1:11">
      <c r="A195" s="8"/>
      <c r="B195" s="3"/>
      <c r="C195" s="3" t="s">
        <v>100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101</v>
      </c>
      <c r="J195" s="3"/>
      <c r="K195" s="3"/>
    </row>
    <row r="196" spans="1:11">
      <c r="A196" s="8"/>
      <c r="B196" s="3"/>
      <c r="C196" s="3" t="s">
        <v>100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101</v>
      </c>
      <c r="J196" s="3"/>
      <c r="K196" s="3"/>
    </row>
    <row r="197" spans="1:11">
      <c r="A197" s="8"/>
      <c r="B197" s="3"/>
      <c r="C197" s="3" t="s">
        <v>100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101</v>
      </c>
      <c r="J197" s="3"/>
      <c r="K197" s="3"/>
    </row>
    <row r="198" spans="1:11">
      <c r="A198" s="8"/>
      <c r="B198" s="3"/>
      <c r="C198" s="3" t="s">
        <v>100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4" sqref="C4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9" t="s">
        <v>102</v>
      </c>
      <c r="B1" s="15"/>
      <c r="C1" s="15"/>
      <c r="D1" s="15"/>
      <c r="E1" s="15"/>
      <c r="F1" s="15"/>
      <c r="G1" s="15"/>
      <c r="H1" s="15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zoomScale="167" workbookViewId="0">
      <selection activeCell="D23" sqref="D23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9" t="s">
        <v>105</v>
      </c>
      <c r="B1" s="15"/>
      <c r="C1" s="15"/>
      <c r="D1" s="15"/>
      <c r="E1" s="15"/>
      <c r="F1" s="15"/>
    </row>
    <row r="3" spans="1:11" ht="32" customHeight="1">
      <c r="A3" s="14" t="s">
        <v>106</v>
      </c>
      <c r="B3" s="15"/>
      <c r="C3" s="15"/>
      <c r="D3" s="15"/>
      <c r="E3" s="15"/>
      <c r="F3" s="15"/>
      <c r="H3" s="14" t="s">
        <v>107</v>
      </c>
      <c r="I3" s="15"/>
      <c r="J3" s="15"/>
      <c r="K3" s="15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375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0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15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41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174</v>
      </c>
      <c r="B12" s="4">
        <f>SUMIFS(Vendite_Patch!F4:F303,Vendite_Patch!I4:I303,"Sì")</f>
        <v>168</v>
      </c>
      <c r="C12" s="3" t="s">
        <v>31</v>
      </c>
      <c r="D12" s="3"/>
      <c r="E12" s="3"/>
      <c r="F12" s="3"/>
    </row>
    <row r="13" spans="1:11">
      <c r="A13" s="6" t="s">
        <v>175</v>
      </c>
      <c r="B13" s="4">
        <f>SUMIFS(Vendite_Patch!H4:H303,Vendite_Patch!I4:I303,"Sì")</f>
        <v>132.90000000000003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159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B6+B12+SUM(Persone_Quote!J4:J18)-B10-B15</f>
        <v>0</v>
      </c>
      <c r="C16" s="3" t="s">
        <v>31</v>
      </c>
      <c r="D16" s="3"/>
      <c r="E16" s="3"/>
      <c r="F16" s="3"/>
    </row>
    <row r="17" spans="1:6">
      <c r="A17" s="6" t="s">
        <v>176</v>
      </c>
      <c r="B17" s="4">
        <f>SUMIFS(Vendite_Patch!$F$4:$F$303,Vendite_Patch!$I$4:$I$303,"Sì",Vendite_Patch!$E$4:$E$303,Parametri!$B$7)</f>
        <v>60</v>
      </c>
      <c r="C17" s="3" t="s">
        <v>31</v>
      </c>
    </row>
    <row r="18" spans="1:6">
      <c r="A18" s="6" t="s">
        <v>177</v>
      </c>
      <c r="B18" s="4">
        <f>SUMIFS(Vendite_Patch!$F$4:$F$303,Vendite_Patch!$I$4:$I$303,"Sì",Vendite_Patch!$E$4:$E$303,Parametri!$B$8)</f>
        <v>108</v>
      </c>
      <c r="C18" s="3" t="s">
        <v>31</v>
      </c>
    </row>
    <row r="19" spans="1:6" ht="29.25" customHeight="1">
      <c r="A19" s="14" t="s">
        <v>121</v>
      </c>
      <c r="B19" s="15"/>
      <c r="C19" s="15"/>
      <c r="D19" s="15"/>
      <c r="E19" s="15"/>
      <c r="F19" s="15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178</v>
      </c>
      <c r="B24" s="5">
        <f>IF(Parametri!B8&gt;0,ROUNDUP(B10/Parametri!B8,0),0)</f>
        <v>45</v>
      </c>
      <c r="C24" s="3" t="s">
        <v>179</v>
      </c>
    </row>
    <row r="25" spans="1:6">
      <c r="A25" s="3" t="s">
        <v>172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9" t="s">
        <v>124</v>
      </c>
      <c r="B1" s="15"/>
      <c r="C1" s="15"/>
      <c r="D1" s="15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12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1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1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2026-06-30T15:31:45Z</dcterms:modified>
</cp:coreProperties>
</file>