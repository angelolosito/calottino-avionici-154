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DEBF608C-D080-EC48-B518-A7BB560D33B6}" xr6:coauthVersionLast="47" xr6:coauthVersionMax="47" xr10:uidLastSave="{00000000-0000-0000-0000-000000000000}"/>
  <bookViews>
    <workbookView xWindow="0" yWindow="680" windowWidth="34200" windowHeight="19900" activeTab="5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F4" i="10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D5" i="10"/>
  <c r="F5" i="10" s="1"/>
  <c r="G4" i="10"/>
  <c r="I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H31" i="6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<sst xmlns="http://schemas.openxmlformats.org/spreadsheetml/2006/main" count="1531" uniqueCount="233">
  <si>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</si>
  <si>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</si>
  <si>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</si>
  <si>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</si>
  <si>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</si>
  <si>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</si>
  <si>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</si>
  <si>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</si>
  <si>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</si>
  <si>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</si>
  <si>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</si>
  <si>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</si>
  <si>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</si>
  <si>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</si>
  <si>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</si>
  <si>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</si>
  <si>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</si>
  <si>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</si>
  <si>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</si>
  <si>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</si>
  <si>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</si>
  <si>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</si>
  <si>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</si>
  <si>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</si>
  <si>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</si>
  <si>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</si>
  <si>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</si>
  <si>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</si>
  <si>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</si>
  <si>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</si>
  <si>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</si>
  <si>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</si>
  <si>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</si>
  <si>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</si>
  <si>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</si>
  <si>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</si>
  <si>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</si>
  <si>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</si>
  <si>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</si>
  <si>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</si>
  <si>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</si>
  <si>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</si>
  <si>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</si>
  <si>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</si>
  <si>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</si>
  <si>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</si>
  <si>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</si>
  <si>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</si>
  <si>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</si>
  <si>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</si>
  <si>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</si>
  <si>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</si>
  <si>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</si>
  <si>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</si>
  <si>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</si>
  <si>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</si>
  <si>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</si>
  <si>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</si>
  <si>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</si>
  <si>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</si>
  <si>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</si>
  <si>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</si>
  <si>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</si>
  <si>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</si>
  <si>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</si>
  <si>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</si>
  <si>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</si>
  <si>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</si>
  <si>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</si>
  <si>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</si>
  <si>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</si>
  <si>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</si>
  <si>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</si>
  <si>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</si>
  <si>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</si>
  <si>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</si>
  <si>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</si>
  <si>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</si>
  <si>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</si>
  <si>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</si>
  <si>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</si>
  <si>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</si>
  <si>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</si>
  <si>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</si>
  <si>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</si>
  <si>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</si>
  <si>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</si>
  <si>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</si>
  <si>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</si>
  <si>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</si>
  <si>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</si>
  <si>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</si>
  <si>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</si>
  <si>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</si>
  <si>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</si>
  <si>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</si>
  <si>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</si>
  <si>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</si>
  <si>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</si>
  <si>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</si>
  <si>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</si>
  <si>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</si>
  <si>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</si>
  <si>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</si>
  <si>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</si>
  <si>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</si>
  <si>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</si>
  <si>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</si>
  <si>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</si>
  <si>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</si>
  <si>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</si>
  <si>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</si>
  <si>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</si>
  <si>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</si>
  <si>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</si>
  <si>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</si>
  <si>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</si>
  <si>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</si>
  <si>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</si>
  <si>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</si>
  <si>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</si>
  <si>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</si>
  <si>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</si>
  <si>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</si>
  <si>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</si>
  <si>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</si>
  <si>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</si>
  <si>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</si>
  <si>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</si>
  <si>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</si>
  <si>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</si>
  <si>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</si>
  <si>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</si>
  <si>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</si>
  <si>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</si>
  <si>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</si>
  <si>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</si>
  <si>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</si>
  <si>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</si>
  <si>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</si>
  <si>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</si>
  <si>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</si>
  <si>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</si>
  <si>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</si>
  <si>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</si>
  <si>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</si>
  <si>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</si>
  <si>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</si>
  <si>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</si>
  <si>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</si>
  <si>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</si>
  <si>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</si>
  <si>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</si>
  <si>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</si>
  <si>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</si>
  <si>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</si>
  <si>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</si>
  <si>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</si>
  <si>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</si>
  <si>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</si>
  <si>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</si>
  <si>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</si>
  <si>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</si>
  <si>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</si>
  <si>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</si>
  <si>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</si>
  <si>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</si>
  <si>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</si>
  <si>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</si>
  <si>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</si>
  <si>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</si>
  <si>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</si>
  <si>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</si>
  <si>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</si>
  <si>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</si>
  <si>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</si>
  <si>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</si>
  <si>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</si>
  <si>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</si>
  <si>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</si>
  <si>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</si>
  <si>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</si>
  <si>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</si>
  <si>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</si>
  <si>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</si>
  <si>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</si>
  <si>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</si>
  <si>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</si>
  <si>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</si>
  <si>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</si>
  <si>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</si>
  <si>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</si>
  <si>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</si>
  <si>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</si>
  <si>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</si>
  <si>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</si>
  <si>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</si>
  <si>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</si>
  <si>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</si>
  <si>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</si>
  <si>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</si>
  <si>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</si>
  <si>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</si>
  <si>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</si>
  <si>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</si>
  <si>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</si>
  <si>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</si>
  <si>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</si>
  <si>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</si>
  <si>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</si>
  <si>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</si>
  <si>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</si>
  <si>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</si>
  <si>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</si>
  <si>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</si>
  <si>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</si>
  <si>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</si>
  <si>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</si>
  <si>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</si>
  <si>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</si>
  <si>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</si>
  <si>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</si>
  <si>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</si>
  <si>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</si>
  <si>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</si>
  <si>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</si>
  <si>
    <t>15/07/2026</t>
  </si>
  <si>
    <t>19/07/2026</t>
  </si>
  <si>
    <t>Scuotto</t>
  </si>
  <si>
    <t>31/07/2026</t>
  </si>
  <si>
    <t>Manzi</t>
  </si>
  <si>
    <t>20/07/2026</t>
  </si>
  <si>
    <t>Fabbiano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</si>
</sst>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401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59">
  <tableColumns count="9">
    <tableColumn id="1" xr3:uid="{00000000-0010-0000-0000-000001000000}" name="ID" dataDxfId="58"/>
    <tableColumn id="2" xr3:uid="{00000000-0010-0000-0000-000002000000}" name="Nome / Cognome" dataDxfId="57"/>
    <tableColumn id="3" xr3:uid="{00000000-0010-0000-0000-000003000000}" name="Quota dovuta" dataDxfId="56"/>
    <tableColumn id="4" xr3:uid="{00000000-0010-0000-0000-000004000000}" name="Quota pagata" dataDxfId="55"/>
    <tableColumn id="5" xr3:uid="{00000000-0010-0000-0000-000005000000}" name="Saldo" dataDxfId="54">
      <calculatedColumnFormula>D4-C4</calculatedColumnFormula>
    </tableColumn>
    <tableColumn id="6" xr3:uid="{00000000-0010-0000-0000-000006000000}" name="Stato" dataDxfId="53">
      <calculatedColumnFormula>IF(D4&gt;=C4,"Pagata",IF(D4&gt;0,"Parziale","Da pagare"))</calculatedColumnFormula>
    </tableColumn>
    <tableColumn id="7" xr3:uid="{00000000-0010-0000-0000-000007000000}" name="Data pagamento" dataDxfId="52"/>
    <tableColumn id="8" xr3:uid="{00000000-0010-0000-0000-000008000000}" name="Metodo" dataDxfId="51"/>
    <tableColumn id="9" xr3:uid="{00000000-0010-0000-0000-000009000000}" name="Note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49">
  <tableColumns count="9">
    <tableColumn id="1" xr3:uid="{00000000-0010-0000-0100-000001000000}" name="Data" dataDxfId="48"/>
    <tableColumn id="2" xr3:uid="{00000000-0010-0000-0100-000002000000}" name="Fornitore" dataDxfId="47"/>
    <tableColumn id="3" xr3:uid="{00000000-0010-0000-0100-000003000000}" name="Lotto / Descrizione" dataDxfId="46"/>
    <tableColumn id="4" xr3:uid="{00000000-0010-0000-0100-000004000000}" name="Quantità" dataDxfId="45"/>
    <tableColumn id="5" xr3:uid="{00000000-0010-0000-0100-000005000000}" name="Costo unitario" dataDxfId="44"/>
    <tableColumn id="6" xr3:uid="{00000000-0010-0000-0100-000006000000}" name="Costo totale" dataDxfId="43"/>
    <tableColumn id="7" xr3:uid="{00000000-0010-0000-0100-000007000000}" name="Pagato da" dataDxfId="42"/>
    <tableColumn id="8" xr3:uid="{00000000-0010-0000-0100-000008000000}" name="Stato pagamento" dataDxfId="41"/>
    <tableColumn id="9" xr3:uid="{00000000-0010-0000-0100-000009000000}" name="Not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39">
  <tableColumns count="11">
    <tableColumn id="1" xr3:uid="{00000000-0010-0000-0200-000001000000}" name="Data" dataDxfId="38"/>
    <tableColumn id="2" xr3:uid="{00000000-0010-0000-0200-000002000000}" name="Acquirente" dataDxfId="37"/>
    <tableColumn id="3" xr3:uid="{00000000-0010-0000-0200-000003000000}" name="Descrizione" dataDxfId="36"/>
    <tableColumn id="4" xr3:uid="{00000000-0010-0000-0200-000004000000}" name="Quantità" dataDxfId="35"/>
    <tableColumn id="5" xr3:uid="{00000000-0010-0000-0200-000005000000}" name="Prezzo unitario" dataDxfId="34"/>
    <tableColumn id="6" xr3:uid="{00000000-0010-0000-0200-000006000000}" name="Ricavo" dataDxfId="33">
      <calculatedColumnFormula>IF(OR(D4="",E4=""),"",D4*E4)</calculatedColumnFormula>
    </tableColumn>
    <tableColumn id="7" xr3:uid="{00000000-0010-0000-0200-000007000000}" name="Costo stimato" dataDxfId="32">
      <calculatedColumnFormula>IF(D4="","",D4*Parametri!$B$6)</calculatedColumnFormula>
    </tableColumn>
    <tableColumn id="8" xr3:uid="{00000000-0010-0000-0200-000008000000}" name="Utile lordo" dataDxfId="31">
      <calculatedColumnFormula>IF(F4="","",F4-G4)</calculatedColumnFormula>
    </tableColumn>
    <tableColumn id="9" xr3:uid="{00000000-0010-0000-0200-000009000000}" name="Incassato?" dataDxfId="30"/>
    <tableColumn id="10" xr3:uid="{00000000-0010-0000-0200-00000A000000}" name="Metodo" dataDxfId="29"/>
    <tableColumn id="11" xr3:uid="{00000000-0010-0000-0200-00000B000000}" name="Note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11" zoomScale="150" workbookViewId="0">
      <selection activeCell="A4" sqref="A4:C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6.75" customHeight="1">
      <c r="A2" s="40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42.75" customHeight="1"/>
    <row r="4" spans="1:12" ht="26.75" customHeight="1">
      <c r="A4" s="41" t="s">
        <v>2</v>
      </c>
      <c r="B4" s="39"/>
      <c r="C4" s="39"/>
      <c r="D4" s="41" t="s">
        <v>3</v>
      </c>
      <c r="E4" s="39"/>
      <c r="F4" s="39"/>
      <c r="G4" s="41" t="s">
        <v>4</v>
      </c>
      <c r="H4" s="39"/>
      <c r="I4" s="39"/>
      <c r="J4" s="41" t="s">
        <v>5</v>
      </c>
      <c r="K4" s="39"/>
      <c r="L4" s="39"/>
    </row>
    <row r="5" spans="1:12" ht="34" customHeight="1">
      <c r="A5" s="42">
        <f>Magazzino_Cassa!B16</f>
        <v>156</v>
      </c>
      <c r="B5" s="39"/>
      <c r="C5" s="39"/>
      <c r="D5" s="42">
        <f>Magazzino_Cassa!B6</f>
        <v>375</v>
      </c>
      <c r="E5" s="39"/>
      <c r="F5" s="39"/>
      <c r="G5" s="43">
        <f>Magazzino_Cassa!B14</f>
        <v>141</v>
      </c>
      <c r="H5" s="39"/>
      <c r="I5" s="39"/>
      <c r="J5" s="42">
        <f>Magazzino_Cassa!B12</f>
        <v>401</v>
      </c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8" spans="1:12" ht="26.75" customHeight="1">
      <c r="A8" s="41" t="s">
        <v>6</v>
      </c>
      <c r="B8" s="39"/>
      <c r="C8" s="39"/>
      <c r="D8" s="41" t="s">
        <v>7</v>
      </c>
      <c r="E8" s="39"/>
      <c r="F8" s="39"/>
      <c r="G8" s="41" t="s">
        <v>8</v>
      </c>
      <c r="H8" s="39"/>
      <c r="I8" s="39"/>
      <c r="J8" s="41" t="s">
        <v>9</v>
      </c>
      <c r="K8" s="39"/>
      <c r="L8" s="39"/>
    </row>
    <row r="9" spans="1:12" ht="34" customHeight="1">
      <c r="A9" s="42">
        <f>Magazzino_Cassa!B15</f>
        <v>80</v>
      </c>
      <c r="B9" s="39"/>
      <c r="C9" s="39"/>
      <c r="D9" s="42">
        <f>Magazzino_Cassa!B13</f>
        <v>317.30000000000013</v>
      </c>
      <c r="E9" s="39"/>
      <c r="F9" s="39"/>
      <c r="G9" s="45" t="str">
        <f>Magazzino_Cassa!B8&amp;"/"&amp;Parametri!B4</f>
        <v>15/15</v>
      </c>
      <c r="H9" s="39"/>
      <c r="I9" s="39"/>
      <c r="J9" s="42">
        <f>Parametri!B9</f>
        <v>12.3</v>
      </c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3" spans="1:12" ht="26.75" customHeight="1">
      <c r="A13" s="44" t="s">
        <v>10</v>
      </c>
      <c r="B13" s="39"/>
      <c r="C13" s="39"/>
      <c r="D13" s="39"/>
      <c r="E13" s="39"/>
      <c r="F13" s="39"/>
      <c r="G13" s="44" t="s">
        <v>11</v>
      </c>
      <c r="H13" s="39"/>
      <c r="I13" s="39"/>
      <c r="J13" s="39"/>
      <c r="K13" s="39"/>
      <c r="L13" s="39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401</v>
      </c>
      <c r="C16" s="3" t="s">
        <v>18</v>
      </c>
      <c r="D16" s="3" t="s">
        <v>23</v>
      </c>
      <c r="G16" s="3" t="s">
        <v>24</v>
      </c>
      <c r="H16" s="5">
        <f>Magazzino_Cassa!B11</f>
        <v>59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141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156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245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156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44" t="s">
        <v>46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159"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38" t="s">
        <v>53</v>
      </c>
      <c r="B1" s="39"/>
      <c r="C1" s="39"/>
      <c r="D1" s="39"/>
      <c r="E1" s="39"/>
      <c r="F1" s="39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61"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38" t="s">
        <v>71</v>
      </c>
      <c r="B1" s="39"/>
      <c r="C1" s="39"/>
      <c r="D1" s="39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5" workbookViewId="0">
      <selection activeCell="J4" sqref="J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38" t="s">
        <v>91</v>
      </c>
      <c r="B1" s="39"/>
      <c r="C1" s="39"/>
      <c r="D1" s="39"/>
      <c r="E1" s="39"/>
      <c r="F1" s="39"/>
      <c r="G1" s="39"/>
      <c r="H1" s="39"/>
      <c r="I1" s="39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38" t="s">
        <v>124</v>
      </c>
      <c r="B1" s="39"/>
      <c r="C1" s="39"/>
      <c r="D1" s="39"/>
      <c r="E1" s="39"/>
      <c r="F1" s="39"/>
      <c r="G1" s="39"/>
      <c r="H1" s="39"/>
      <c r="I1" s="39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abSelected="1" topLeftCell="A8" zoomScale="150" workbookViewId="0">
      <selection activeCell="C33" sqref="C33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38" t="s">
        <v>138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2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2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2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2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2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2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2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2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2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2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2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2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2">
      <c r="A29" s="14" t="s">
        <v>226</v>
      </c>
      <c r="B29" s="3" t="s">
        <v>106</v>
      </c>
      <c r="C29" s="3" t="s">
        <v>146</v>
      </c>
      <c r="D29" s="5">
        <v>1</v>
      </c>
      <c r="E29" s="13">
        <v>12</v>
      </c>
      <c r="F29" s="4">
        <f t="shared" si="1"/>
        <v>12</v>
      </c>
      <c r="G29" s="4">
        <f>IF(D29="","",D29*Parametri!$B$6)</f>
        <v>2.7</v>
      </c>
      <c r="H29" s="4">
        <f t="shared" si="0"/>
        <v>9.3000000000000007</v>
      </c>
      <c r="I29" s="3" t="s">
        <v>147</v>
      </c>
      <c r="J29" s="3" t="s">
        <v>105</v>
      </c>
      <c r="K29" s="3"/>
    </row>
    <row r="30" spans="1:12">
      <c r="A30" s="14" t="s">
        <v>227</v>
      </c>
      <c r="B30" s="3" t="s">
        <v>228</v>
      </c>
      <c r="C30" s="3" t="s">
        <v>146</v>
      </c>
      <c r="D30" s="5">
        <v>10</v>
      </c>
      <c r="E30" s="13">
        <v>15</v>
      </c>
      <c r="F30" s="4">
        <f t="shared" si="1"/>
        <v>150</v>
      </c>
      <c r="G30" s="4">
        <f>IF(D30="","",D30*Parametri!$B$6)</f>
        <v>27</v>
      </c>
      <c r="H30" s="4">
        <f t="shared" si="0"/>
        <v>123</v>
      </c>
      <c r="I30" s="3" t="s">
        <v>147</v>
      </c>
      <c r="J30" s="3" t="s">
        <v>105</v>
      </c>
      <c r="K30" s="3"/>
      <c r="L30" t="s">
        <v>157</v>
      </c>
    </row>
    <row r="31" spans="1:12">
      <c r="A31" s="14" t="s">
        <v>229</v>
      </c>
      <c r="B31" s="3" t="s">
        <v>121</v>
      </c>
      <c r="C31" s="3" t="s">
        <v>146</v>
      </c>
      <c r="D31" s="5">
        <v>2</v>
      </c>
      <c r="E31" s="13">
        <v>12</v>
      </c>
      <c r="F31" s="4">
        <v>0</v>
      </c>
      <c r="G31" s="4">
        <f>IF(D31="","",D31*Parametri!$B$6)</f>
        <v>5.4</v>
      </c>
      <c r="H31" s="4">
        <f t="shared" si="0"/>
        <v>-5.4</v>
      </c>
      <c r="I31" s="3" t="s">
        <v>147</v>
      </c>
      <c r="J31" s="3"/>
      <c r="K31" s="3"/>
    </row>
    <row r="32" spans="1:12">
      <c r="A32" s="14" t="s">
        <v>229</v>
      </c>
      <c r="B32" s="3" t="s">
        <v>230</v>
      </c>
      <c r="C32" s="3" t="s">
        <v>146</v>
      </c>
      <c r="D32" s="5">
        <v>2</v>
      </c>
      <c r="E32" s="13">
        <v>12</v>
      </c>
      <c r="F32" s="4">
        <f t="shared" si="1"/>
        <v>24</v>
      </c>
      <c r="G32" s="4">
        <f>IF(D32="","",D32*Parametri!$B$6)</f>
        <v>5.4</v>
      </c>
      <c r="H32" s="4">
        <f t="shared" si="0"/>
        <v>18.600000000000001</v>
      </c>
      <c r="I32" s="3" t="s">
        <v>147</v>
      </c>
      <c r="J32" s="3" t="s">
        <v>105</v>
      </c>
      <c r="K32" s="3"/>
    </row>
    <row r="33" spans="1:11">
      <c r="A33" s="14" t="s">
        <v>231</v>
      </c>
      <c r="B33" s="3" t="s">
        <v>232</v>
      </c>
      <c r="C33" s="3" t="s">
        <v>146</v>
      </c>
      <c r="D33" s="5">
        <v>1</v>
      </c>
      <c r="E33" s="13">
        <v>12</v>
      </c>
      <c r="F33" s="4">
        <f t="shared" si="1"/>
        <v>12</v>
      </c>
      <c r="G33" s="4">
        <f>IF(D33="","",D33*Parametri!$B$6)</f>
        <v>2.7</v>
      </c>
      <c r="H33" s="4">
        <f t="shared" si="0"/>
        <v>9.3000000000000007</v>
      </c>
      <c r="I33" s="3" t="s">
        <v>147</v>
      </c>
      <c r="J33" s="3" t="s">
        <v>105</v>
      </c>
      <c r="K33" s="3"/>
    </row>
    <row r="34" spans="1:11">
      <c r="A34" s="14"/>
      <c r="B34" s="3"/>
      <c r="C34" s="3" t="s">
        <v>146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147</v>
      </c>
      <c r="J34" s="3"/>
      <c r="K34" s="3"/>
    </row>
    <row r="35" spans="1:11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1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1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1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1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1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1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1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1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1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1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1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1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1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38" t="s">
        <v>164</v>
      </c>
      <c r="B1" s="39"/>
      <c r="C1" s="39"/>
      <c r="D1" s="39"/>
      <c r="E1" s="39"/>
      <c r="F1" s="39"/>
      <c r="G1" s="39"/>
      <c r="H1" s="39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25"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38" t="s">
        <v>170</v>
      </c>
      <c r="B1" s="39"/>
      <c r="C1" s="39"/>
      <c r="D1" s="39"/>
      <c r="E1" s="39"/>
      <c r="F1" s="39"/>
    </row>
    <row r="3" spans="1:11" ht="42.75" customHeight="1">
      <c r="A3" s="44" t="s">
        <v>171</v>
      </c>
      <c r="B3" s="39"/>
      <c r="C3" s="39"/>
      <c r="D3" s="39"/>
      <c r="E3" s="39"/>
      <c r="F3" s="39"/>
      <c r="H3" s="44" t="s">
        <v>172</v>
      </c>
      <c r="I3" s="39"/>
      <c r="J3" s="39"/>
      <c r="K3" s="39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59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401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317.30000000000013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141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156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245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156</v>
      </c>
      <c r="C18" s="3" t="s">
        <v>36</v>
      </c>
    </row>
    <row r="19" spans="1:6" ht="39" customHeight="1">
      <c r="A19" s="44" t="s">
        <v>186</v>
      </c>
      <c r="B19" s="39"/>
      <c r="C19" s="39"/>
      <c r="D19" s="39"/>
      <c r="E19" s="39"/>
      <c r="F19" s="39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38" t="s">
        <v>193</v>
      </c>
      <c r="B1" s="39"/>
      <c r="C1" s="39"/>
      <c r="D1" s="39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61" workbookViewId="0">
      <selection activeCell="H5" sqref="H5"/>
    </sheetView>
  </sheetViews>
  <sheetFormatPr baseColWidth="10" defaultColWidth="8.83203125" defaultRowHeight="15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4" customHeight="1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10</v>
      </c>
      <c r="E4" s="24"/>
      <c r="F4" s="24">
        <f t="shared" ref="F4:F35" si="0">IF(B4="","",MAX(C4-D4-E4,0))</f>
        <v>0</v>
      </c>
      <c r="G4" s="27">
        <f>IF(B4="","",SUMIFS(Vendite_Patch!$F$4:$F$303,Vendite_Patch!$L$4:$L$303,B4,Vendite_Patch!$I$4:$I$303,"Sì"))</f>
        <v>150</v>
      </c>
      <c r="H4" s="27">
        <v>150</v>
      </c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0</v>
      </c>
      <c r="E5" s="25"/>
      <c r="F5" s="25">
        <f t="shared" si="0"/>
        <v>10</v>
      </c>
      <c r="G5" s="28">
        <f>IF(B5="","",SUMIFS(Vendite_Patch!$F$4:$F$303,Vendite_Patch!$L$4:$L$303,B5,Vendite_Patch!$I$4:$I$303,"Sì"))</f>
        <v>0</v>
      </c>
      <c r="H5" s="28"/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03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03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zoomScale="125" workbookViewId="0">
      <selection activeCell="B21" sqref="B21"/>
    </sheetView>
  </sheetViews>
  <sheetFormatPr baseColWidth="10" defaultColWidth="8.83203125" defaultRowHeight="15"/>
  <cols>
    <col min="1" max="1" width="16" customWidth="1"/>
    <col min="2" max="2" width="27" customWidth="1"/>
    <col min="3" max="3" width="40" customWidth="1"/>
  </cols>
  <sheetData>
    <row r="1" spans="1:3" ht="27" customHeight="1">
      <c r="A1" s="48" t="s">
        <v>218</v>
      </c>
      <c r="B1" s="48"/>
      <c r="C1" s="48"/>
    </row>
    <row r="2" spans="1:3" ht="38" customHeight="1">
      <c r="A2" s="49" t="s">
        <v>219</v>
      </c>
      <c r="B2" s="49"/>
      <c r="C2" s="4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2026-08-24T07:21:23Z</dcterms:modified>
</cp:coreProperties>
</file>