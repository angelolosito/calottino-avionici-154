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B5695FC6-6A4E-3846-9906-7B4493BBD653}" xr6:coauthVersionLast="47" xr6:coauthVersionMax="47" xr10:uidLastSave="{00000000-0000-0000-0000-000000000000}"/>
  <bookViews>
    <workbookView xWindow="0" yWindow="680" windowWidth="34200" windowHeight="19900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calcMode="auto" fullCalcOnLoad="1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25" i="8"/>
  <c r="B12" i="3"/>
  <c r="H21" i="1" s="1"/>
  <c r="H6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B17" i="8"/>
  <c r="B20" i="1" s="1"/>
  <c r="H7" i="6"/>
  <c r="H8" i="6"/>
  <c r="H9" i="6"/>
  <c r="H10" i="6"/>
  <c r="F11" i="6"/>
  <c r="H11" i="6" s="1"/>
  <c r="F12" i="6"/>
  <c r="H12" i="6" s="1"/>
  <c r="F13" i="6"/>
  <c r="H13" i="6" s="1"/>
  <c r="F14" i="6"/>
  <c r="H14" i="6" s="1"/>
  <c r="F15" i="6"/>
  <c r="H15" i="6" s="1"/>
  <c r="F16" i="6"/>
  <c r="H16" i="6" s="1"/>
  <c r="F17" i="6"/>
  <c r="H17" i="6" s="1"/>
  <c r="F18" i="6"/>
  <c r="H18" i="6" s="1"/>
  <c r="F19" i="6"/>
  <c r="H19" i="6" s="1"/>
  <c r="F20" i="6"/>
  <c r="H20" i="6" s="1"/>
  <c r="F21" i="6"/>
  <c r="H21" i="6" s="1"/>
  <c r="F22" i="6"/>
  <c r="H22" i="6" s="1"/>
  <c r="F23" i="6"/>
  <c r="H23" i="6" s="1"/>
  <c r="F24" i="6"/>
  <c r="H24" i="6" s="1"/>
  <c r="F25" i="6"/>
  <c r="H25" i="6" s="1"/>
  <c r="F26" i="6"/>
  <c r="H26" i="6" s="1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C15" i="4"/>
  <c r="F15" i="4" s="1"/>
  <c r="C14" i="4"/>
  <c r="F14" i="4" s="1"/>
  <c r="C13" i="4"/>
  <c r="E13" i="4" s="1"/>
  <c r="C12" i="4"/>
  <c r="F12" i="4" s="1"/>
  <c r="C11" i="4"/>
  <c r="E11" i="4" s="1"/>
  <c r="C10" i="4"/>
  <c r="E10" i="4" s="1"/>
  <c r="C9" i="4"/>
  <c r="E9" i="4" s="1"/>
  <c r="C8" i="4"/>
  <c r="F8" i="4" s="1"/>
  <c r="C7" i="4"/>
  <c r="C6" i="4"/>
  <c r="F6" i="4" s="1"/>
  <c r="C5" i="4"/>
  <c r="E5" i="4" s="1"/>
  <c r="C4" i="4"/>
  <c r="E4" i="4" s="1"/>
  <c r="B9" i="3"/>
  <c r="B22" i="8" s="1"/>
  <c r="B18" i="8" l="1"/>
  <c r="B21" i="1" s="1"/>
  <c r="B24" i="8"/>
  <c r="H20" i="1" s="1"/>
  <c r="F5" i="4"/>
  <c r="F17" i="4"/>
  <c r="F13" i="4"/>
  <c r="E8" i="4"/>
  <c r="A9" i="1"/>
  <c r="B14" i="8"/>
  <c r="B20" i="8" s="1"/>
  <c r="B17" i="1"/>
  <c r="H15" i="1"/>
  <c r="F7" i="4"/>
  <c r="E7" i="4"/>
  <c r="F10" i="4"/>
  <c r="E14" i="4"/>
  <c r="F16" i="4"/>
  <c r="E16" i="4"/>
  <c r="F11" i="4"/>
  <c r="D5" i="1"/>
  <c r="B12" i="8"/>
  <c r="B16" i="8" s="1"/>
  <c r="F9" i="4"/>
  <c r="E15" i="4"/>
  <c r="E12" i="4"/>
  <c r="F18" i="4"/>
  <c r="H19" i="1"/>
  <c r="E6" i="4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<sst xmlns="http://schemas.openxmlformats.org/spreadsheetml/2006/main" count="1313" uniqueCount="191">
  <si>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</si>
  <si>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</si>
  <si>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</si>
  <si>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</si>
  <si>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</si>
  <si>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</si>
  <si>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</si>
  <si>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</si>
  <si>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</si>
  <si>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</si>
  <si>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</si>
  <si>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</si>
  <si>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</si>
  <si>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</si>
  <si>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</si>
  <si>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</si>
  <si>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</si>
  <si>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</si>
  <si>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</si>
  <si>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</si>
  <si>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</si>
  <si>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</si>
  <si>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</si>
  <si>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</si>
  <si>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</si>
  <si>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</si>
  <si>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</si>
  <si>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</si>
  <si>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</si>
  <si>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</si>
  <si>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</si>
  <si>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</si>
  <si>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</si>
  <si>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</si>
  <si>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</si>
  <si>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</si>
  <si>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</si>
  <si>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</si>
  <si>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</si>
  <si>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</si>
  <si>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</si>
  <si>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</si>
  <si>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</si>
  <si>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</si>
  <si>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</si>
  <si>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</si>
  <si>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</si>
  <si>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</si>
  <si>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</si>
  <si>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</si>
  <si>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</si>
  <si>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</si>
  <si>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</si>
  <si>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</si>
  <si>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</si>
  <si>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</si>
  <si>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</si>
  <si>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</si>
  <si>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</si>
  <si>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</si>
  <si>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</si>
  <si>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</si>
  <si>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</si>
  <si>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</si>
  <si>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</si>
  <si>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</si>
  <si>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</si>
  <si>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</si>
  <si>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</si>
  <si>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</si>
  <si>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</si>
  <si>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</si>
  <si>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</si>
  <si>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</si>
  <si>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</si>
  <si>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</si>
  <si>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</si>
  <si>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</si>
  <si>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</si>
  <si>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</si>
  <si>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</si>
  <si>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</si>
  <si>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</si>
  <si>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</si>
  <si>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</si>
  <si>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</si>
  <si>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</si>
  <si>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</si>
  <si>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</si>
  <si>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</si>
  <si>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</si>
  <si>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</si>
  <si>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</si>
  <si>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</si>
  <si>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</si>
  <si>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</si>
  <si>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</si>
  <si>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</si>
  <si>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</si>
  <si>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</si>
  <si>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</si>
  <si>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</si>
  <si>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</si>
  <si>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</si>
  <si>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</si>
  <si>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</si>
  <si>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</si>
  <si>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</si>
  <si>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</si>
  <si>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</si>
  <si>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</si>
  <si>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</si>
  <si>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</si>
  <si>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</si>
  <si>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</si>
  <si>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</si>
  <si>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</si>
  <si>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</si>
  <si>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</si>
  <si>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</si>
  <si>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</si>
  <si>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</si>
  <si>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</si>
  <si>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</si>
  <si>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</si>
  <si>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</si>
  <si>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</si>
  <si>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</si>
  <si>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</si>
  <si>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</si>
  <si>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</si>
  <si>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</si>
  <si>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</si>
  <si>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</si>
  <si>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</si>
  <si>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</si>
  <si>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</si>
  <si>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</si>
  <si>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</si>
  <si>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</si>
  <si>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</si>
  <si>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</si>
  <si>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</si>
  <si>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</si>
  <si>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</si>
  <si>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</si>
  <si>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</si>
  <si>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</si>
  <si>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</si>
  <si>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</si>
  <si>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</si>
  <si>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</si>
  <si>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</si>
  <si>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</si>
  <si>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</si>
  <si>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</si>
  <si>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</si>
  <si>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</si>
  <si>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</si>
  <si>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</si>
  <si>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</si>
  <si>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</si>
  <si>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</si>
  <si>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</si>
  <si>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</si>
  <si>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</si>
  <si>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</si>
  <si>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</si>
  <si>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</si>
  <si>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</si>
  <si>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</si>
  <si>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</si>
  <si>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De Matola</t>
  </si>
  <si>
    <t>Mimmo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</si>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</sst>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  <xf numFmtId="164" fontId="2" fillId="0" borderId="0" xfId="0" applyNumberFormat="1" applyFont="1"/>
    <xf numFmtId="0" fontId="9" fillId="6" borderId="0" xfId="0" applyNumberFormat="1" applyFont="1" applyFill="1"/>
    <xf numFmtId="164" fontId="10" fillId="0" borderId="0" xfId="0" applyNumberFormat="1" applyFont="1" applyAlignment="1">
      <alignment vertical="top" wrapText="1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520</c:v>
                </c:pt>
                <c:pt idx="1">
                  <c:v>36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/>
    <tableColumn id="6" xr3:uid="{00000000-0010-0000-0000-000006000000}" name="Stato" dataDxfId="59"/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5"/>
    <tableColumn id="6" xr3:uid="{00000000-0010-0000-0200-000006000000}" name="Ricavo" dataDxfId="4">
      <calculatedColumnFormula>IF(OR(D4="",E4=""),"",D4*E4)</calculatedColumnFormula>
    </tableColumn>
    <tableColumn id="7" xr3:uid="{00000000-0010-0000-0200-000007000000}" name="Costo stimato" dataDxfId="3">
      <calculatedColumnFormula>IF(D4="","",D4*Parametri!$B$6)</calculatedColumnFormula>
    </tableColumn>
    <tableColumn id="8" xr3:uid="{00000000-0010-0000-0200-000008000000}" name="Utile lordo" dataDxfId="2">
      <calculatedColumnFormula>IF(F4="","",F4-G4)</calculatedColumnFormula>
    </tableColumn>
    <tableColumn id="9" xr3:uid="{00000000-0010-0000-0200-000009000000}" name="Incassato?" dataDxfId="36"/>
    <tableColumn id="10" xr3:uid="{00000000-0010-0000-0200-00000A000000}" name="Metodo" dataDxfId="35"/>
    <tableColumn id="11" xr3:uid="{00000000-0010-0000-0200-00000B000000}" name="Note" dataDxfId="3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33" dataDxfId="32" totalsRowDxfId="31">
  <tableColumns count="8">
    <tableColumn id="1" xr3:uid="{00000000-0010-0000-0300-000001000000}" name="Data" dataDxfId="30"/>
    <tableColumn id="2" xr3:uid="{00000000-0010-0000-0300-000002000000}" name="Categoria" dataDxfId="29"/>
    <tableColumn id="3" xr3:uid="{00000000-0010-0000-0300-000003000000}" name="Descrizione" dataDxfId="28"/>
    <tableColumn id="4" xr3:uid="{00000000-0010-0000-0300-000004000000}" name="Importo" dataDxfId="27"/>
    <tableColumn id="5" xr3:uid="{00000000-0010-0000-0300-000005000000}" name="Pagato da" dataDxfId="26"/>
    <tableColumn id="6" xr3:uid="{00000000-0010-0000-0300-000006000000}" name="Metodo" dataDxfId="25"/>
    <tableColumn id="7" xr3:uid="{00000000-0010-0000-0300-000007000000}" name="Approvata?" dataDxfId="24"/>
    <tableColumn id="8" xr3:uid="{00000000-0010-0000-0300-000008000000}" name="Note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abSelected="1" zoomScale="125" workbookViewId="0">
      <selection activeCell="A20" sqref="A20:J2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6" t="s">
        <v>0</v>
      </c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</row>
    <row r="2" spans="1:12" ht="20" customHeight="1">
      <c r="A2" s="17" t="s">
        <v>1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 ht="32" customHeight="1"/>
    <row r="4" spans="1:12" ht="20" customHeight="1">
      <c r="A4" s="13" t="s">
        <v>2</v>
      </c>
      <c r="B4" s="12"/>
      <c r="C4" s="12"/>
      <c r="D4" s="13" t="s">
        <v>3</v>
      </c>
      <c r="E4" s="12"/>
      <c r="F4" s="12"/>
      <c r="G4" s="13" t="s">
        <v>4</v>
      </c>
      <c r="H4" s="12"/>
      <c r="I4" s="12"/>
      <c r="J4" s="13" t="s">
        <v>176</v>
      </c>
      <c r="K4" s="12"/>
      <c r="L4" s="12"/>
    </row>
    <row r="5" spans="1:12" ht="25.5" customHeight="1">
      <c r="A5" s="14">
        <f>Magazzino_Cassa!B16</f>
        <v>-64</v>
      </c>
      <c r="B5" s="12"/>
      <c r="C5" s="12"/>
      <c r="D5" s="14">
        <f>Magazzino_Cassa!B6</f>
        <v>520</v>
      </c>
      <c r="E5" s="12"/>
      <c r="F5" s="12"/>
      <c r="G5" s="18">
        <f>Magazzino_Cassa!B14</f>
        <v>184</v>
      </c>
      <c r="H5" s="12"/>
      <c r="I5" s="12"/>
      <c r="J5" s="14">
        <f>Magazzino_Cassa!B12</f>
        <v>36</v>
      </c>
      <c r="K5" s="12"/>
      <c r="L5" s="12"/>
    </row>
    <row r="6" spans="1:12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</row>
    <row r="8" spans="1:12" ht="20" customHeight="1">
      <c r="A8" s="13" t="s">
        <v>5</v>
      </c>
      <c r="B8" s="12"/>
      <c r="C8" s="12"/>
      <c r="D8" s="13" t="s">
        <v>6</v>
      </c>
      <c r="E8" s="12"/>
      <c r="F8" s="12"/>
      <c r="G8" s="13" t="s">
        <v>7</v>
      </c>
      <c r="H8" s="12"/>
      <c r="I8" s="12"/>
      <c r="J8" s="13" t="s">
        <v>168</v>
      </c>
      <c r="K8" s="12"/>
      <c r="L8" s="12"/>
    </row>
    <row r="9" spans="1:12" ht="25.5" customHeight="1">
      <c r="A9" s="14">
        <f>Magazzino_Cassa!B15</f>
        <v>80</v>
      </c>
      <c r="B9" s="12"/>
      <c r="C9" s="12"/>
      <c r="D9" s="14">
        <f>Magazzino_Cassa!B13</f>
        <v>27.900000000000002</v>
      </c>
      <c r="E9" s="12"/>
      <c r="F9" s="12"/>
      <c r="G9" s="15" t="str">
        <f>Magazzino_Cassa!B8&amp;"/"&amp;Parametri!B4</f>
        <v>11/15</v>
      </c>
      <c r="H9" s="12"/>
      <c r="I9" s="12"/>
      <c r="J9" s="14">
        <f>Parametri!B9</f>
        <v>12.3</v>
      </c>
      <c r="K9" s="12"/>
      <c r="L9" s="12"/>
    </row>
    <row r="10" spans="1:12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</row>
    <row r="13" spans="1:12" ht="20" customHeight="1">
      <c r="A13" s="11" t="s">
        <v>8</v>
      </c>
      <c r="B13" s="12"/>
      <c r="C13" s="12"/>
      <c r="D13" s="12"/>
      <c r="E13" s="12"/>
      <c r="F13" s="12"/>
      <c r="G13" s="11" t="s">
        <v>9</v>
      </c>
      <c r="H13" s="12"/>
      <c r="I13" s="12"/>
      <c r="J13" s="12"/>
      <c r="K13" s="12"/>
      <c r="L13" s="12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275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176</v>
      </c>
      <c r="B16" s="4">
        <f>Magazzino_Cassa!B12</f>
        <v>36</v>
      </c>
      <c r="C16" s="3" t="s">
        <v>16</v>
      </c>
      <c r="D16" s="3" t="s">
        <v>182</v>
      </c>
      <c r="G16" s="3" t="s">
        <v>21</v>
      </c>
      <c r="H16" s="5">
        <f>Magazzino_Cassa!B11</f>
        <v>16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184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-64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178</v>
      </c>
      <c r="B20" s="4">
        <f>Magazzino_Cassa!B17</f>
        <v>0</v>
      </c>
      <c r="C20" s="3" t="s">
        <v>16</v>
      </c>
      <c r="D20" s="3" t="s">
        <v>183</v>
      </c>
      <c r="G20" s="3" t="s">
        <v>185</v>
      </c>
      <c r="H20" s="5">
        <f>Magazzino_Cassa!B24</f>
        <v>45</v>
      </c>
      <c r="I20" s="3" t="s">
        <v>19</v>
      </c>
      <c r="J20" s="3" t="s">
        <v>186</v>
      </c>
    </row>
    <row r="21" spans="1:12" ht="30">
      <c r="A21" s="3" t="s">
        <v>179</v>
      </c>
      <c r="B21" s="4">
        <f>Magazzino_Cassa!B18</f>
        <v>36</v>
      </c>
      <c r="C21" s="3" t="s">
        <v>16</v>
      </c>
      <c r="D21" s="3" t="s">
        <v>184</v>
      </c>
      <c r="G21" s="3" t="s">
        <v>187</v>
      </c>
      <c r="H21" s="4">
        <f>Parametri!B12</f>
        <v>9.3000000000000007</v>
      </c>
      <c r="I21" s="3" t="s">
        <v>31</v>
      </c>
      <c r="J21" s="3" t="s">
        <v>188</v>
      </c>
    </row>
    <row r="23" spans="1:12" ht="20" customHeight="1">
      <c r="A23" s="11" t="s">
        <v>32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22" priority="1">
      <formula>B19&lt;0</formula>
    </cfRule>
    <cfRule type="expression" dxfId="21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6" t="s">
        <v>39</v>
      </c>
      <c r="B1" s="12"/>
      <c r="C1" s="12"/>
      <c r="D1" s="12"/>
      <c r="E1" s="12"/>
      <c r="F1" s="12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189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190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6" t="s">
        <v>62</v>
      </c>
      <c r="B1" s="12"/>
      <c r="C1" s="12"/>
      <c r="D1" s="12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174</v>
      </c>
      <c r="B12" s="4">
        <f>B8-B6</f>
        <v>9.3000000000000007</v>
      </c>
      <c r="C12" s="3" t="s">
        <v>31</v>
      </c>
      <c r="D12" s="3" t="s">
        <v>175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70" workbookViewId="0">
      <selection activeCell="F18" sqref="F18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6384" width="8.83203125" style="1"/>
  </cols>
  <sheetData>
    <row r="1" spans="1:9" ht="37.25" customHeight="1">
      <c r="A1" s="16" t="s">
        <v>74</v>
      </c>
      <c r="B1" s="12"/>
      <c r="C1" s="12"/>
      <c r="D1" s="12"/>
      <c r="E1" s="12"/>
      <c r="F1" s="12"/>
      <c r="G1" s="12"/>
      <c r="H1" s="12"/>
      <c r="I1" s="12"/>
    </row>
    <row r="3" spans="1:9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inlineStr">
        <is>
          <t>Anticipo da rimborsare</t>
        </is>
      </c>
    </row>
    <row r="4" spans="1:9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inlineStr">
        <is>
          <t>Quota effettiva 25 euro; extra 245 euro registrato come anticipo da rimborsare.</t>
        </is>
      </c>
      <c r="J4" s="4">
        <v>245</v>
      </c>
    </row>
    <row r="5" spans="1:9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si="0"/>
        <v>0</v>
      </c>
      <c r="F5" s="3" t="str">
        <f t="shared" si="1"/>
        <v>Pagata</v>
      </c>
      <c r="G5" s="8" t="s">
        <v>150</v>
      </c>
      <c r="H5" s="3" t="s">
        <v>134</v>
      </c>
      <c r="I5" s="3"/>
    </row>
    <row r="6" spans="1:9">
      <c r="A6" s="3">
        <v>3</v>
      </c>
      <c r="B6" s="3" t="s">
        <v>137</v>
      </c>
      <c r="C6" s="4">
        <f>Parametri!$B$5</f>
        <v>25</v>
      </c>
      <c r="D6" s="4">
        <v>0</v>
      </c>
      <c r="E6" s="4">
        <f t="shared" si="0"/>
        <v>-25</v>
      </c>
      <c r="F6" s="3" t="str">
        <f t="shared" si="1"/>
        <v>Da pagare</v>
      </c>
      <c r="G6" s="8"/>
      <c r="H6" s="3"/>
      <c r="I6" s="3"/>
    </row>
    <row r="7" spans="1:9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9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9">
      <c r="A9" s="3">
        <v>6</v>
      </c>
      <c r="B9" s="3" t="s">
        <v>140</v>
      </c>
      <c r="C9" s="4">
        <f>Parametri!$B$5</f>
        <v>25</v>
      </c>
      <c r="D9" s="4">
        <v>0</v>
      </c>
      <c r="E9" s="4">
        <f t="shared" si="0"/>
        <v>-25</v>
      </c>
      <c r="F9" s="3" t="str">
        <f t="shared" si="1"/>
        <v>Da pagare</v>
      </c>
      <c r="G9" s="8"/>
      <c r="H9" s="3"/>
      <c r="I9" s="3"/>
    </row>
    <row r="10" spans="1:9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9">
      <c r="A11" s="3">
        <v>8</v>
      </c>
      <c r="B11" s="3" t="s">
        <v>142</v>
      </c>
      <c r="C11" s="4">
        <f>Parametri!$B$5</f>
        <v>25</v>
      </c>
      <c r="D11" s="4">
        <v>0</v>
      </c>
      <c r="E11" s="4">
        <f t="shared" si="0"/>
        <v>-25</v>
      </c>
      <c r="F11" s="3" t="str">
        <f t="shared" si="1"/>
        <v>Da pagare</v>
      </c>
      <c r="G11" s="8"/>
      <c r="H11" s="3"/>
      <c r="I11" s="3"/>
    </row>
    <row r="12" spans="1:9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9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9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9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9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0</v>
      </c>
      <c r="E17" s="4">
        <f t="shared" si="0"/>
        <v>-25</v>
      </c>
      <c r="F17" s="3" t="str">
        <f t="shared" si="1"/>
        <v>Da pagare</v>
      </c>
      <c r="G17" s="8"/>
      <c r="H17" s="3"/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20" priority="1">
      <formula>F4="Pagata"</formula>
    </cfRule>
    <cfRule type="expression" dxfId="19" priority="2">
      <formula>F4="Da pagare"</formula>
    </cfRule>
    <cfRule type="expression" dxfId="18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6" t="s">
        <v>82</v>
      </c>
      <c r="B1" s="12"/>
      <c r="C1" s="12"/>
      <c r="D1" s="12"/>
      <c r="E1" s="12"/>
      <c r="F1" s="12"/>
      <c r="G1" s="12"/>
      <c r="H1" s="12"/>
      <c r="I1" s="12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7" priority="1">
      <formula>H4="Pagato"</formula>
    </cfRule>
    <cfRule type="expression" dxfId="16" priority="2">
      <formula>H4="Da pagare"</formula>
    </cfRule>
    <cfRule type="expression" dxfId="15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zoomScale="118" workbookViewId="0">
      <selection activeCell="D27" sqref="D27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6" t="s">
        <v>92</v>
      </c>
      <c r="B1" s="12"/>
      <c r="C1" s="12"/>
      <c r="D1" s="12"/>
      <c r="E1" s="12"/>
      <c r="F1" s="12"/>
      <c r="G1" s="12"/>
      <c r="H1" s="12"/>
      <c r="I1" s="12"/>
      <c r="J1" s="12"/>
      <c r="K1" s="12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21">
        <v>15</v>
      </c>
      <c r="F4" s="4">
        <v>0</v>
      </c>
      <c r="G4" s="4">
        <v>0</v>
      </c>
      <c r="H4" s="4">
        <f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21">
        <v>15</v>
      </c>
      <c r="F5" s="4">
        <v>0</v>
      </c>
      <c r="G5" s="4">
        <v>0</v>
      </c>
      <c r="H5" s="4">
        <f>IF(F5="","",F5-G5)</f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21">
        <v>15</v>
      </c>
      <c r="F6" s="4">
        <v>0</v>
      </c>
      <c r="G6" s="4">
        <v>0</v>
      </c>
      <c r="H6" s="4">
        <f>IF(F6="","",F6-G6)</f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21">
        <v>15</v>
      </c>
      <c r="F7" s="4">
        <v>0</v>
      </c>
      <c r="G7" s="4">
        <v>0</v>
      </c>
      <c r="H7" s="4">
        <f>IF(F7="","",F7-G7)</f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21">
        <v>15</v>
      </c>
      <c r="F8" s="4">
        <v>0</v>
      </c>
      <c r="G8" s="4">
        <v>0</v>
      </c>
      <c r="H8" s="4">
        <f>IF(F8="","",F8-G8)</f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21">
        <v>15</v>
      </c>
      <c r="F9" s="4">
        <v>0</v>
      </c>
      <c r="G9" s="4">
        <v>0</v>
      </c>
      <c r="H9" s="4">
        <f>IF(F9="","",F9-G9)</f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21">
        <v>15</v>
      </c>
      <c r="F10" s="4">
        <v>0</v>
      </c>
      <c r="G10" s="4">
        <v>0</v>
      </c>
      <c r="H10" s="4">
        <f>IF(F10="","",F10-G10)</f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21">
        <v>12</v>
      </c>
      <c r="F11" s="4">
        <f>IF(OR(D11="",E11=""),"",D11*E11)</f>
        <v>24</v>
      </c>
      <c r="G11" s="4">
        <f>IF(D11="","",D11*Parametri!$B$6)</f>
        <v>5.4</v>
      </c>
      <c r="H11" s="4">
        <f>IF(F11="","",F11-G11)</f>
        <v>18.600000000000001</v>
      </c>
      <c r="I11" s="3" t="s">
        <v>101</v>
      </c>
      <c r="J11" s="3" t="s">
        <v>158</v>
      </c>
      <c r="K11" s="3"/>
    </row>
    <row r="12" spans="1:11">
      <c r="A12" s="8" t="s">
        <v>156</v>
      </c>
      <c r="B12" s="3" t="s">
        <v>172</v>
      </c>
      <c r="C12" s="3" t="s">
        <v>100</v>
      </c>
      <c r="D12" s="5">
        <v>1</v>
      </c>
      <c r="E12" s="21">
        <v>12</v>
      </c>
      <c r="F12" s="4">
        <f>IF(OR(D12="",E12=""),"",D12*E12)</f>
        <v>12</v>
      </c>
      <c r="G12" s="4">
        <f>IF(D12="","",D12*Parametri!$B$6)</f>
        <v>2.7</v>
      </c>
      <c r="H12" s="4">
        <f>IF(F12="","",F12-G12)</f>
        <v>9.3000000000000007</v>
      </c>
      <c r="I12" s="3" t="s">
        <v>101</v>
      </c>
      <c r="J12" s="3" t="s">
        <v>128</v>
      </c>
      <c r="K12" s="3" t="s">
        <v>173</v>
      </c>
    </row>
    <row r="13" spans="1:11">
      <c r="A13" s="8"/>
      <c r="B13" s="3"/>
      <c r="C13" s="3" t="s">
        <v>100</v>
      </c>
      <c r="D13" s="5"/>
      <c r="E13" s="21"/>
      <c r="F13" s="4" t="str">
        <f>IF(OR(D13="",E13=""),"",D13*E13)</f>
        <v/>
      </c>
      <c r="G13" s="4" t="str">
        <f>IF(D13="","",D13*Parametri!$B$6)</f>
        <v/>
      </c>
      <c r="H13" s="4" t="str">
        <f>IF(F13="","",F13-G13)</f>
        <v/>
      </c>
      <c r="I13" s="3" t="s">
        <v>101</v>
      </c>
      <c r="J13" s="3"/>
      <c r="K13" s="3"/>
    </row>
    <row r="14" spans="1:11">
      <c r="A14" s="8"/>
      <c r="B14" s="3"/>
      <c r="C14" s="3" t="s">
        <v>100</v>
      </c>
      <c r="D14" s="5"/>
      <c r="E14" s="21"/>
      <c r="F14" s="4" t="str">
        <f>IF(OR(D14="",E14=""),"",D14*E14)</f>
        <v/>
      </c>
      <c r="G14" s="4" t="str">
        <f>IF(D14="","",D14*Parametri!$B$6)</f>
        <v/>
      </c>
      <c r="H14" s="4" t="str">
        <f>IF(F14="","",F14-G14)</f>
        <v/>
      </c>
      <c r="I14" s="3" t="s">
        <v>101</v>
      </c>
      <c r="J14" s="3"/>
      <c r="K14" s="3"/>
    </row>
    <row r="15" spans="1:11">
      <c r="A15" s="8"/>
      <c r="B15" s="3"/>
      <c r="C15" s="3" t="s">
        <v>100</v>
      </c>
      <c r="D15" s="5"/>
      <c r="E15" s="21"/>
      <c r="F15" s="4" t="str">
        <f>IF(OR(D15="",E15=""),"",D15*E15)</f>
        <v/>
      </c>
      <c r="G15" s="4" t="str">
        <f>IF(D15="","",D15*Parametri!$B$6)</f>
        <v/>
      </c>
      <c r="H15" s="4" t="str">
        <f>IF(F15="","",F15-G15)</f>
        <v/>
      </c>
      <c r="I15" s="3" t="s">
        <v>101</v>
      </c>
      <c r="J15" s="3"/>
      <c r="K15" s="3"/>
    </row>
    <row r="16" spans="1:11">
      <c r="A16" s="8"/>
      <c r="B16" s="3"/>
      <c r="C16" s="3" t="s">
        <v>100</v>
      </c>
      <c r="D16" s="5"/>
      <c r="E16" s="21"/>
      <c r="F16" s="4" t="str">
        <f>IF(OR(D16="",E16=""),"",D16*E16)</f>
        <v/>
      </c>
      <c r="G16" s="4" t="str">
        <f>IF(D16="","",D16*Parametri!$B$6)</f>
        <v/>
      </c>
      <c r="H16" s="4" t="str">
        <f>IF(F16="","",F16-G16)</f>
        <v/>
      </c>
      <c r="I16" s="3" t="s">
        <v>101</v>
      </c>
      <c r="J16" s="3"/>
      <c r="K16" s="3"/>
    </row>
    <row r="17" spans="1:11">
      <c r="A17" s="8"/>
      <c r="B17" s="3"/>
      <c r="C17" s="3" t="s">
        <v>100</v>
      </c>
      <c r="D17" s="5"/>
      <c r="E17" s="21"/>
      <c r="F17" s="4" t="str">
        <f>IF(OR(D17="",E17=""),"",D17*E17)</f>
        <v/>
      </c>
      <c r="G17" s="4" t="str">
        <f>IF(D17="","",D17*Parametri!$B$6)</f>
        <v/>
      </c>
      <c r="H17" s="4" t="str">
        <f>IF(F17="","",F17-G17)</f>
        <v/>
      </c>
      <c r="I17" s="3" t="s">
        <v>101</v>
      </c>
      <c r="J17" s="3"/>
      <c r="K17" s="3"/>
    </row>
    <row r="18" spans="1:11">
      <c r="A18" s="8"/>
      <c r="B18" s="3"/>
      <c r="C18" s="3" t="s">
        <v>100</v>
      </c>
      <c r="D18" s="5"/>
      <c r="E18" s="21"/>
      <c r="F18" s="4" t="str">
        <f>IF(OR(D18="",E18=""),"",D18*E18)</f>
        <v/>
      </c>
      <c r="G18" s="4" t="str">
        <f>IF(D18="","",D18*Parametri!$B$6)</f>
        <v/>
      </c>
      <c r="H18" s="4" t="str">
        <f>IF(F18="","",F18-G18)</f>
        <v/>
      </c>
      <c r="I18" s="3" t="s">
        <v>101</v>
      </c>
      <c r="J18" s="3"/>
      <c r="K18" s="3"/>
    </row>
    <row r="19" spans="1:11">
      <c r="A19" s="8"/>
      <c r="B19" s="3"/>
      <c r="C19" s="3" t="s">
        <v>100</v>
      </c>
      <c r="D19" s="5"/>
      <c r="E19" s="21"/>
      <c r="F19" s="4" t="str">
        <f>IF(OR(D19="",E19=""),"",D19*E19)</f>
        <v/>
      </c>
      <c r="G19" s="4" t="str">
        <f>IF(D19="","",D19*Parametri!$B$6)</f>
        <v/>
      </c>
      <c r="H19" s="4" t="str">
        <f>IF(F19="","",F19-G19)</f>
        <v/>
      </c>
      <c r="I19" s="3" t="s">
        <v>101</v>
      </c>
      <c r="J19" s="3"/>
      <c r="K19" s="3"/>
    </row>
    <row r="20" spans="1:11">
      <c r="A20" s="8"/>
      <c r="B20" s="3"/>
      <c r="C20" s="3" t="s">
        <v>100</v>
      </c>
      <c r="D20" s="5"/>
      <c r="E20" s="21"/>
      <c r="F20" s="4" t="str">
        <f>IF(OR(D20="",E20=""),"",D20*E20)</f>
        <v/>
      </c>
      <c r="G20" s="4" t="str">
        <f>IF(D20="","",D20*Parametri!$B$6)</f>
        <v/>
      </c>
      <c r="H20" s="4" t="str">
        <f>IF(F20="","",F20-G20)</f>
        <v/>
      </c>
      <c r="I20" s="3" t="s">
        <v>101</v>
      </c>
      <c r="J20" s="3"/>
      <c r="K20" s="3"/>
    </row>
    <row r="21" spans="1:11">
      <c r="A21" s="8"/>
      <c r="B21" s="3"/>
      <c r="C21" s="3" t="s">
        <v>100</v>
      </c>
      <c r="D21" s="5"/>
      <c r="E21" s="21"/>
      <c r="F21" s="4" t="str">
        <f>IF(OR(D21="",E21=""),"",D21*E21)</f>
        <v/>
      </c>
      <c r="G21" s="4" t="str">
        <f>IF(D21="","",D21*Parametri!$B$6)</f>
        <v/>
      </c>
      <c r="H21" s="4" t="str">
        <f>IF(F21="","",F21-G21)</f>
        <v/>
      </c>
      <c r="I21" s="3" t="s">
        <v>101</v>
      </c>
      <c r="J21" s="3"/>
      <c r="K21" s="3"/>
    </row>
    <row r="22" spans="1:11">
      <c r="A22" s="8"/>
      <c r="B22" s="3"/>
      <c r="C22" s="3" t="s">
        <v>100</v>
      </c>
      <c r="D22" s="5"/>
      <c r="E22" s="21"/>
      <c r="F22" s="4" t="str">
        <f>IF(OR(D22="",E22=""),"",D22*E22)</f>
        <v/>
      </c>
      <c r="G22" s="4" t="str">
        <f>IF(D22="","",D22*Parametri!$B$6)</f>
        <v/>
      </c>
      <c r="H22" s="4" t="str">
        <f>IF(F22="","",F22-G22)</f>
        <v/>
      </c>
      <c r="I22" s="3" t="s">
        <v>101</v>
      </c>
      <c r="J22" s="3"/>
      <c r="K22" s="3"/>
    </row>
    <row r="23" spans="1:11">
      <c r="A23" s="8"/>
      <c r="B23" s="3"/>
      <c r="C23" s="3" t="s">
        <v>100</v>
      </c>
      <c r="D23" s="5"/>
      <c r="E23" s="21"/>
      <c r="F23" s="4" t="str">
        <f>IF(OR(D23="",E23=""),"",D23*E23)</f>
        <v/>
      </c>
      <c r="G23" s="4" t="str">
        <f>IF(D23="","",D23*Parametri!$B$6)</f>
        <v/>
      </c>
      <c r="H23" s="4" t="str">
        <f>IF(F23="","",F23-G23)</f>
        <v/>
      </c>
      <c r="I23" s="3" t="s">
        <v>101</v>
      </c>
      <c r="J23" s="3"/>
      <c r="K23" s="3"/>
    </row>
    <row r="24" spans="1:11">
      <c r="A24" s="8"/>
      <c r="B24" s="3"/>
      <c r="C24" s="3" t="s">
        <v>100</v>
      </c>
      <c r="D24" s="5"/>
      <c r="E24" s="21"/>
      <c r="F24" s="4" t="str">
        <f>IF(OR(D24="",E24=""),"",D24*E24)</f>
        <v/>
      </c>
      <c r="G24" s="4" t="str">
        <f>IF(D24="","",D24*Parametri!$B$6)</f>
        <v/>
      </c>
      <c r="H24" s="4" t="str">
        <f>IF(F24="","",F24-G24)</f>
        <v/>
      </c>
      <c r="I24" s="3" t="s">
        <v>101</v>
      </c>
      <c r="J24" s="3"/>
      <c r="K24" s="3"/>
    </row>
    <row r="25" spans="1:11">
      <c r="A25" s="8"/>
      <c r="B25" s="3"/>
      <c r="C25" s="3" t="s">
        <v>100</v>
      </c>
      <c r="D25" s="5"/>
      <c r="E25" s="21"/>
      <c r="F25" s="4" t="str">
        <f>IF(OR(D25="",E25=""),"",D25*E25)</f>
        <v/>
      </c>
      <c r="G25" s="4" t="str">
        <f>IF(D25="","",D25*Parametri!$B$6)</f>
        <v/>
      </c>
      <c r="H25" s="4" t="str">
        <f>IF(F25="","",F25-G25)</f>
        <v/>
      </c>
      <c r="I25" s="3" t="s">
        <v>101</v>
      </c>
      <c r="J25" s="3"/>
      <c r="K25" s="3"/>
    </row>
    <row r="26" spans="1:11">
      <c r="A26" s="8"/>
      <c r="B26" s="3"/>
      <c r="C26" s="3" t="s">
        <v>100</v>
      </c>
      <c r="D26" s="5"/>
      <c r="E26" s="21"/>
      <c r="F26" s="4" t="str">
        <f>IF(OR(D26="",E26=""),"",D26*E26)</f>
        <v/>
      </c>
      <c r="G26" s="4" t="str">
        <f>IF(D26="","",D26*Parametri!$B$6)</f>
        <v/>
      </c>
      <c r="H26" s="4" t="str">
        <f>IF(F26="","",F26-G26)</f>
        <v/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21"/>
      <c r="F27" s="4" t="str">
        <f>IF(OR(D27="",E27=""),"",D27*E27)</f>
        <v/>
      </c>
      <c r="G27" s="4" t="str">
        <f>IF(D27="","",D27*Parametri!$B$6)</f>
        <v/>
      </c>
      <c r="H27" s="4" t="str">
        <f>IF(F27="","",F27-G27)</f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21"/>
      <c r="F28" s="4" t="str">
        <f>IF(OR(D28="",E28=""),"",D28*E28)</f>
        <v/>
      </c>
      <c r="G28" s="4" t="str">
        <f>IF(D28="","",D28*Parametri!$B$6)</f>
        <v/>
      </c>
      <c r="H28" s="4" t="str">
        <f>IF(F28="","",F28-G28)</f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21"/>
      <c r="F29" s="4" t="str">
        <f>IF(OR(D29="",E29=""),"",D29*E29)</f>
        <v/>
      </c>
      <c r="G29" s="4" t="str">
        <f>IF(D29="","",D29*Parametri!$B$6)</f>
        <v/>
      </c>
      <c r="H29" s="4" t="str">
        <f>IF(F29="","",F29-G29)</f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21"/>
      <c r="F30" s="4" t="str">
        <f>IF(OR(D30="",E30=""),"",D30*E30)</f>
        <v/>
      </c>
      <c r="G30" s="4" t="str">
        <f>IF(D30="","",D30*Parametri!$B$6)</f>
        <v/>
      </c>
      <c r="H30" s="4" t="str">
        <f>IF(F30="","",F30-G30)</f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21"/>
      <c r="F31" s="4" t="str">
        <f>IF(OR(D31="",E31=""),"",D31*E31)</f>
        <v/>
      </c>
      <c r="G31" s="4" t="str">
        <f>IF(D31="","",D31*Parametri!$B$6)</f>
        <v/>
      </c>
      <c r="H31" s="4" t="str">
        <f>IF(F31="","",F31-G31)</f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21"/>
      <c r="F32" s="4" t="str">
        <f>IF(OR(D32="",E32=""),"",D32*E32)</f>
        <v/>
      </c>
      <c r="G32" s="4" t="str">
        <f>IF(D32="","",D32*Parametri!$B$6)</f>
        <v/>
      </c>
      <c r="H32" s="4" t="str">
        <f>IF(F32="","",F32-G32)</f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21"/>
      <c r="F33" s="4" t="str">
        <f>IF(OR(D33="",E33=""),"",D33*E33)</f>
        <v/>
      </c>
      <c r="G33" s="4" t="str">
        <f>IF(D33="","",D33*Parametri!$B$6)</f>
        <v/>
      </c>
      <c r="H33" s="4" t="str">
        <f>IF(F33="","",F33-G33)</f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21"/>
      <c r="F34" s="4" t="str">
        <f>IF(OR(D34="",E34=""),"",D34*E34)</f>
        <v/>
      </c>
      <c r="G34" s="4" t="str">
        <f>IF(D34="","",D34*Parametri!$B$6)</f>
        <v/>
      </c>
      <c r="H34" s="4" t="str">
        <f>IF(F34="","",F34-G34)</f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21"/>
      <c r="F35" s="4" t="str">
        <f>IF(OR(D35="",E35=""),"",D35*E35)</f>
        <v/>
      </c>
      <c r="G35" s="4" t="str">
        <f>IF(D35="","",D35*Parametri!$B$6)</f>
        <v/>
      </c>
      <c r="H35" s="4" t="str">
        <f>IF(F35="","",F35-G35)</f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21"/>
      <c r="F36" s="4" t="str">
        <f>IF(OR(D36="",E36=""),"",D36*E36)</f>
        <v/>
      </c>
      <c r="G36" s="4" t="str">
        <f>IF(D36="","",D36*Parametri!$B$6)</f>
        <v/>
      </c>
      <c r="H36" s="4" t="str">
        <f>IF(F36="","",F36-G36)</f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21"/>
      <c r="F37" s="4" t="str">
        <f>IF(OR(D37="",E37=""),"",D37*E37)</f>
        <v/>
      </c>
      <c r="G37" s="4" t="str">
        <f>IF(D37="","",D37*Parametri!$B$6)</f>
        <v/>
      </c>
      <c r="H37" s="4" t="str">
        <f>IF(F37="","",F37-G37)</f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21"/>
      <c r="F38" s="4" t="str">
        <f>IF(OR(D38="",E38=""),"",D38*E38)</f>
        <v/>
      </c>
      <c r="G38" s="4" t="str">
        <f>IF(D38="","",D38*Parametri!$B$6)</f>
        <v/>
      </c>
      <c r="H38" s="4" t="str">
        <f>IF(F38="","",F38-G38)</f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21"/>
      <c r="F39" s="4" t="str">
        <f>IF(OR(D39="",E39=""),"",D39*E39)</f>
        <v/>
      </c>
      <c r="G39" s="4" t="str">
        <f>IF(D39="","",D39*Parametri!$B$6)</f>
        <v/>
      </c>
      <c r="H39" s="4" t="str">
        <f>IF(F39="","",F39-G39)</f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21"/>
      <c r="F40" s="4" t="str">
        <f>IF(OR(D40="",E40=""),"",D40*E40)</f>
        <v/>
      </c>
      <c r="G40" s="4" t="str">
        <f>IF(D40="","",D40*Parametri!$B$6)</f>
        <v/>
      </c>
      <c r="H40" s="4" t="str">
        <f>IF(F40="","",F40-G40)</f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21"/>
      <c r="F41" s="4" t="str">
        <f>IF(OR(D41="",E41=""),"",D41*E41)</f>
        <v/>
      </c>
      <c r="G41" s="4" t="str">
        <f>IF(D41="","",D41*Parametri!$B$6)</f>
        <v/>
      </c>
      <c r="H41" s="4" t="str">
        <f>IF(F41="","",F41-G41)</f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21"/>
      <c r="F42" s="4" t="str">
        <f>IF(OR(D42="",E42=""),"",D42*E42)</f>
        <v/>
      </c>
      <c r="G42" s="4" t="str">
        <f>IF(D42="","",D42*Parametri!$B$6)</f>
        <v/>
      </c>
      <c r="H42" s="4" t="str">
        <f>IF(F42="","",F42-G42)</f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21"/>
      <c r="F43" s="4" t="str">
        <f>IF(OR(D43="",E43=""),"",D43*E43)</f>
        <v/>
      </c>
      <c r="G43" s="4" t="str">
        <f>IF(D43="","",D43*Parametri!$B$6)</f>
        <v/>
      </c>
      <c r="H43" s="4" t="str">
        <f>IF(F43="","",F43-G43)</f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21"/>
      <c r="F44" s="4" t="str">
        <f>IF(OR(D44="",E44=""),"",D44*E44)</f>
        <v/>
      </c>
      <c r="G44" s="4" t="str">
        <f>IF(D44="","",D44*Parametri!$B$6)</f>
        <v/>
      </c>
      <c r="H44" s="4" t="str">
        <f>IF(F44="","",F44-G44)</f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21"/>
      <c r="F45" s="4" t="str">
        <f>IF(OR(D45="",E45=""),"",D45*E45)</f>
        <v/>
      </c>
      <c r="G45" s="4" t="str">
        <f>IF(D45="","",D45*Parametri!$B$6)</f>
        <v/>
      </c>
      <c r="H45" s="4" t="str">
        <f>IF(F45="","",F45-G45)</f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21"/>
      <c r="F46" s="4" t="str">
        <f>IF(OR(D46="",E46=""),"",D46*E46)</f>
        <v/>
      </c>
      <c r="G46" s="4" t="str">
        <f>IF(D46="","",D46*Parametri!$B$6)</f>
        <v/>
      </c>
      <c r="H46" s="4" t="str">
        <f>IF(F46="","",F46-G46)</f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21"/>
      <c r="F47" s="4" t="str">
        <f>IF(OR(D47="",E47=""),"",D47*E47)</f>
        <v/>
      </c>
      <c r="G47" s="4" t="str">
        <f>IF(D47="","",D47*Parametri!$B$6)</f>
        <v/>
      </c>
      <c r="H47" s="4" t="str">
        <f>IF(F47="","",F47-G47)</f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21"/>
      <c r="F48" s="4" t="str">
        <f>IF(OR(D48="",E48=""),"",D48*E48)</f>
        <v/>
      </c>
      <c r="G48" s="4" t="str">
        <f>IF(D48="","",D48*Parametri!$B$6)</f>
        <v/>
      </c>
      <c r="H48" s="4" t="str">
        <f>IF(F48="","",F48-G48)</f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21"/>
      <c r="F49" s="4" t="str">
        <f>IF(OR(D49="",E49=""),"",D49*E49)</f>
        <v/>
      </c>
      <c r="G49" s="4" t="str">
        <f>IF(D49="","",D49*Parametri!$B$6)</f>
        <v/>
      </c>
      <c r="H49" s="4" t="str">
        <f>IF(F49="","",F49-G49)</f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21"/>
      <c r="F50" s="4" t="str">
        <f>IF(OR(D50="",E50=""),"",D50*E50)</f>
        <v/>
      </c>
      <c r="G50" s="4" t="str">
        <f>IF(D50="","",D50*Parametri!$B$6)</f>
        <v/>
      </c>
      <c r="H50" s="4" t="str">
        <f>IF(F50="","",F50-G50)</f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21"/>
      <c r="F51" s="4" t="str">
        <f>IF(OR(D51="",E51=""),"",D51*E51)</f>
        <v/>
      </c>
      <c r="G51" s="4" t="str">
        <f>IF(D51="","",D51*Parametri!$B$6)</f>
        <v/>
      </c>
      <c r="H51" s="4" t="str">
        <f>IF(F51="","",F51-G51)</f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21"/>
      <c r="F52" s="4" t="str">
        <f>IF(OR(D52="",E52=""),"",D52*E52)</f>
        <v/>
      </c>
      <c r="G52" s="4" t="str">
        <f>IF(D52="","",D52*Parametri!$B$6)</f>
        <v/>
      </c>
      <c r="H52" s="4" t="str">
        <f>IF(F52="","",F52-G52)</f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21"/>
      <c r="F53" s="4" t="str">
        <f>IF(OR(D53="",E53=""),"",D53*E53)</f>
        <v/>
      </c>
      <c r="G53" s="4" t="str">
        <f>IF(D53="","",D53*Parametri!$B$6)</f>
        <v/>
      </c>
      <c r="H53" s="4" t="str">
        <f>IF(F53="","",F53-G53)</f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21"/>
      <c r="F54" s="4" t="str">
        <f>IF(OR(D54="",E54=""),"",D54*E54)</f>
        <v/>
      </c>
      <c r="G54" s="4" t="str">
        <f>IF(D54="","",D54*Parametri!$B$6)</f>
        <v/>
      </c>
      <c r="H54" s="4" t="str">
        <f>IF(F54="","",F54-G54)</f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21"/>
      <c r="F55" s="4" t="str">
        <f>IF(OR(D55="",E55=""),"",D55*E55)</f>
        <v/>
      </c>
      <c r="G55" s="4" t="str">
        <f>IF(D55="","",D55*Parametri!$B$6)</f>
        <v/>
      </c>
      <c r="H55" s="4" t="str">
        <f>IF(F55="","",F55-G55)</f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21"/>
      <c r="F56" s="4" t="str">
        <f>IF(OR(D56="",E56=""),"",D56*E56)</f>
        <v/>
      </c>
      <c r="G56" s="4" t="str">
        <f>IF(D56="","",D56*Parametri!$B$6)</f>
        <v/>
      </c>
      <c r="H56" s="4" t="str">
        <f>IF(F56="","",F56-G56)</f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21"/>
      <c r="F57" s="4" t="str">
        <f>IF(OR(D57="",E57=""),"",D57*E57)</f>
        <v/>
      </c>
      <c r="G57" s="4" t="str">
        <f>IF(D57="","",D57*Parametri!$B$6)</f>
        <v/>
      </c>
      <c r="H57" s="4" t="str">
        <f>IF(F57="","",F57-G57)</f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21"/>
      <c r="F58" s="4" t="str">
        <f>IF(OR(D58="",E58=""),"",D58*E58)</f>
        <v/>
      </c>
      <c r="G58" s="4" t="str">
        <f>IF(D58="","",D58*Parametri!$B$6)</f>
        <v/>
      </c>
      <c r="H58" s="4" t="str">
        <f>IF(F58="","",F58-G58)</f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21"/>
      <c r="F59" s="4" t="str">
        <f>IF(OR(D59="",E59=""),"",D59*E59)</f>
        <v/>
      </c>
      <c r="G59" s="4" t="str">
        <f>IF(D59="","",D59*Parametri!$B$6)</f>
        <v/>
      </c>
      <c r="H59" s="4" t="str">
        <f>IF(F59="","",F59-G59)</f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21"/>
      <c r="F60" s="4" t="str">
        <f>IF(OR(D60="",E60=""),"",D60*E60)</f>
        <v/>
      </c>
      <c r="G60" s="4" t="str">
        <f>IF(D60="","",D60*Parametri!$B$6)</f>
        <v/>
      </c>
      <c r="H60" s="4" t="str">
        <f>IF(F60="","",F60-G60)</f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21"/>
      <c r="F61" s="4" t="str">
        <f>IF(OR(D61="",E61=""),"",D61*E61)</f>
        <v/>
      </c>
      <c r="G61" s="4" t="str">
        <f>IF(D61="","",D61*Parametri!$B$6)</f>
        <v/>
      </c>
      <c r="H61" s="4" t="str">
        <f>IF(F61="","",F61-G61)</f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21"/>
      <c r="F62" s="4" t="str">
        <f>IF(OR(D62="",E62=""),"",D62*E62)</f>
        <v/>
      </c>
      <c r="G62" s="4" t="str">
        <f>IF(D62="","",D62*Parametri!$B$6)</f>
        <v/>
      </c>
      <c r="H62" s="4" t="str">
        <f>IF(F62="","",F62-G62)</f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21"/>
      <c r="F63" s="4" t="str">
        <f>IF(OR(D63="",E63=""),"",D63*E63)</f>
        <v/>
      </c>
      <c r="G63" s="4" t="str">
        <f>IF(D63="","",D63*Parametri!$B$6)</f>
        <v/>
      </c>
      <c r="H63" s="4" t="str">
        <f>IF(F63="","",F63-G63)</f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21"/>
      <c r="F64" s="4" t="str">
        <f>IF(OR(D64="",E64=""),"",D64*E64)</f>
        <v/>
      </c>
      <c r="G64" s="4" t="str">
        <f>IF(D64="","",D64*Parametri!$B$6)</f>
        <v/>
      </c>
      <c r="H64" s="4" t="str">
        <f>IF(F64="","",F64-G64)</f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21"/>
      <c r="F65" s="4" t="str">
        <f>IF(OR(D65="",E65=""),"",D65*E65)</f>
        <v/>
      </c>
      <c r="G65" s="4" t="str">
        <f>IF(D65="","",D65*Parametri!$B$6)</f>
        <v/>
      </c>
      <c r="H65" s="4" t="str">
        <f>IF(F65="","",F65-G65)</f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21"/>
      <c r="F66" s="4" t="str">
        <f>IF(OR(D66="",E66=""),"",D66*E66)</f>
        <v/>
      </c>
      <c r="G66" s="4" t="str">
        <f>IF(D66="","",D66*Parametri!$B$6)</f>
        <v/>
      </c>
      <c r="H66" s="4" t="str">
        <f>IF(F66="","",F66-G66)</f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21"/>
      <c r="F67" s="4" t="str">
        <f>IF(OR(D67="",E67=""),"",D67*E67)</f>
        <v/>
      </c>
      <c r="G67" s="4" t="str">
        <f>IF(D67="","",D67*Parametri!$B$6)</f>
        <v/>
      </c>
      <c r="H67" s="4" t="str">
        <f>IF(F67="","",F67-G67)</f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21"/>
      <c r="F68" s="4" t="str">
        <f>IF(OR(D68="",E68=""),"",D68*E68)</f>
        <v/>
      </c>
      <c r="G68" s="4" t="str">
        <f>IF(D68="","",D68*Parametri!$B$6)</f>
        <v/>
      </c>
      <c r="H68" s="4" t="str">
        <f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21"/>
      <c r="F69" s="4" t="str">
        <f>IF(OR(D69="",E69=""),"",D69*E69)</f>
        <v/>
      </c>
      <c r="G69" s="4" t="str">
        <f>IF(D69="","",D69*Parametri!$B$6)</f>
        <v/>
      </c>
      <c r="H69" s="4" t="str">
        <f>IF(F69="","",F69-G69)</f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21"/>
      <c r="F70" s="4" t="str">
        <f>IF(OR(D70="",E70=""),"",D70*E70)</f>
        <v/>
      </c>
      <c r="G70" s="4" t="str">
        <f>IF(D70="","",D70*Parametri!$B$6)</f>
        <v/>
      </c>
      <c r="H70" s="4" t="str">
        <f>IF(F70="","",F70-G70)</f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21"/>
      <c r="F71" s="4" t="str">
        <f>IF(OR(D71="",E71=""),"",D71*E71)</f>
        <v/>
      </c>
      <c r="G71" s="4" t="str">
        <f>IF(D71="","",D71*Parametri!$B$6)</f>
        <v/>
      </c>
      <c r="H71" s="4" t="str">
        <f>IF(F71="","",F71-G71)</f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21"/>
      <c r="F72" s="4" t="str">
        <f>IF(OR(D72="",E72=""),"",D72*E72)</f>
        <v/>
      </c>
      <c r="G72" s="4" t="str">
        <f>IF(D72="","",D72*Parametri!$B$6)</f>
        <v/>
      </c>
      <c r="H72" s="4" t="str">
        <f>IF(F72="","",F72-G72)</f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21"/>
      <c r="F73" s="4" t="str">
        <f>IF(OR(D73="",E73=""),"",D73*E73)</f>
        <v/>
      </c>
      <c r="G73" s="4" t="str">
        <f>IF(D73="","",D73*Parametri!$B$6)</f>
        <v/>
      </c>
      <c r="H73" s="4" t="str">
        <f>IF(F73="","",F73-G73)</f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21"/>
      <c r="F74" s="4" t="str">
        <f>IF(OR(D74="",E74=""),"",D74*E74)</f>
        <v/>
      </c>
      <c r="G74" s="4" t="str">
        <f>IF(D74="","",D74*Parametri!$B$6)</f>
        <v/>
      </c>
      <c r="H74" s="4" t="str">
        <f>IF(F74="","",F74-G74)</f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21"/>
      <c r="F75" s="4" t="str">
        <f>IF(OR(D75="",E75=""),"",D75*E75)</f>
        <v/>
      </c>
      <c r="G75" s="4" t="str">
        <f>IF(D75="","",D75*Parametri!$B$6)</f>
        <v/>
      </c>
      <c r="H75" s="4" t="str">
        <f>IF(F75="","",F75-G75)</f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21"/>
      <c r="F76" s="4" t="str">
        <f>IF(OR(D76="",E76=""),"",D76*E76)</f>
        <v/>
      </c>
      <c r="G76" s="4" t="str">
        <f>IF(D76="","",D76*Parametri!$B$6)</f>
        <v/>
      </c>
      <c r="H76" s="4" t="str">
        <f>IF(F76="","",F76-G76)</f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21"/>
      <c r="F77" s="4" t="str">
        <f>IF(OR(D77="",E77=""),"",D77*E77)</f>
        <v/>
      </c>
      <c r="G77" s="4" t="str">
        <f>IF(D77="","",D77*Parametri!$B$6)</f>
        <v/>
      </c>
      <c r="H77" s="4" t="str">
        <f>IF(F77="","",F77-G77)</f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21"/>
      <c r="F78" s="4" t="str">
        <f>IF(OR(D78="",E78=""),"",D78*E78)</f>
        <v/>
      </c>
      <c r="G78" s="4" t="str">
        <f>IF(D78="","",D78*Parametri!$B$6)</f>
        <v/>
      </c>
      <c r="H78" s="4" t="str">
        <f>IF(F78="","",F78-G78)</f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21"/>
      <c r="F79" s="4" t="str">
        <f>IF(OR(D79="",E79=""),"",D79*E79)</f>
        <v/>
      </c>
      <c r="G79" s="4" t="str">
        <f>IF(D79="","",D79*Parametri!$B$6)</f>
        <v/>
      </c>
      <c r="H79" s="4" t="str">
        <f>IF(F79="","",F79-G79)</f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21"/>
      <c r="F80" s="4" t="str">
        <f>IF(OR(D80="",E80=""),"",D80*E80)</f>
        <v/>
      </c>
      <c r="G80" s="4" t="str">
        <f>IF(D80="","",D80*Parametri!$B$6)</f>
        <v/>
      </c>
      <c r="H80" s="4" t="str">
        <f>IF(F80="","",F80-G80)</f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21"/>
      <c r="F81" s="4" t="str">
        <f>IF(OR(D81="",E81=""),"",D81*E81)</f>
        <v/>
      </c>
      <c r="G81" s="4" t="str">
        <f>IF(D81="","",D81*Parametri!$B$6)</f>
        <v/>
      </c>
      <c r="H81" s="4" t="str">
        <f>IF(F81="","",F81-G81)</f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21"/>
      <c r="F82" s="4" t="str">
        <f>IF(OR(D82="",E82=""),"",D82*E82)</f>
        <v/>
      </c>
      <c r="G82" s="4" t="str">
        <f>IF(D82="","",D82*Parametri!$B$6)</f>
        <v/>
      </c>
      <c r="H82" s="4" t="str">
        <f>IF(F82="","",F82-G82)</f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21"/>
      <c r="F83" s="4" t="str">
        <f>IF(OR(D83="",E83=""),"",D83*E83)</f>
        <v/>
      </c>
      <c r="G83" s="4" t="str">
        <f>IF(D83="","",D83*Parametri!$B$6)</f>
        <v/>
      </c>
      <c r="H83" s="4" t="str">
        <f>IF(F83="","",F83-G83)</f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21"/>
      <c r="F84" s="4" t="str">
        <f>IF(OR(D84="",E84=""),"",D84*E84)</f>
        <v/>
      </c>
      <c r="G84" s="4" t="str">
        <f>IF(D84="","",D84*Parametri!$B$6)</f>
        <v/>
      </c>
      <c r="H84" s="4" t="str">
        <f>IF(F84="","",F84-G84)</f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21"/>
      <c r="F85" s="4" t="str">
        <f>IF(OR(D85="",E85=""),"",D85*E85)</f>
        <v/>
      </c>
      <c r="G85" s="4" t="str">
        <f>IF(D85="","",D85*Parametri!$B$6)</f>
        <v/>
      </c>
      <c r="H85" s="4" t="str">
        <f>IF(F85="","",F85-G85)</f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21"/>
      <c r="F86" s="4" t="str">
        <f>IF(OR(D86="",E86=""),"",D86*E86)</f>
        <v/>
      </c>
      <c r="G86" s="4" t="str">
        <f>IF(D86="","",D86*Parametri!$B$6)</f>
        <v/>
      </c>
      <c r="H86" s="4" t="str">
        <f>IF(F86="","",F86-G86)</f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21"/>
      <c r="F87" s="4" t="str">
        <f>IF(OR(D87="",E87=""),"",D87*E87)</f>
        <v/>
      </c>
      <c r="G87" s="4" t="str">
        <f>IF(D87="","",D87*Parametri!$B$6)</f>
        <v/>
      </c>
      <c r="H87" s="4" t="str">
        <f>IF(F87="","",F87-G87)</f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21"/>
      <c r="F88" s="4" t="str">
        <f>IF(OR(D88="",E88=""),"",D88*E88)</f>
        <v/>
      </c>
      <c r="G88" s="4" t="str">
        <f>IF(D88="","",D88*Parametri!$B$6)</f>
        <v/>
      </c>
      <c r="H88" s="4" t="str">
        <f>IF(F88="","",F88-G88)</f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21"/>
      <c r="F89" s="4" t="str">
        <f>IF(OR(D89="",E89=""),"",D89*E89)</f>
        <v/>
      </c>
      <c r="G89" s="4" t="str">
        <f>IF(D89="","",D89*Parametri!$B$6)</f>
        <v/>
      </c>
      <c r="H89" s="4" t="str">
        <f>IF(F89="","",F89-G89)</f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21"/>
      <c r="F90" s="4" t="str">
        <f>IF(OR(D90="",E90=""),"",D90*E90)</f>
        <v/>
      </c>
      <c r="G90" s="4" t="str">
        <f>IF(D90="","",D90*Parametri!$B$6)</f>
        <v/>
      </c>
      <c r="H90" s="4" t="str">
        <f>IF(F90="","",F90-G90)</f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21"/>
      <c r="F91" s="4" t="str">
        <f>IF(OR(D91="",E91=""),"",D91*E91)</f>
        <v/>
      </c>
      <c r="G91" s="4" t="str">
        <f>IF(D91="","",D91*Parametri!$B$6)</f>
        <v/>
      </c>
      <c r="H91" s="4" t="str">
        <f>IF(F91="","",F91-G91)</f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21"/>
      <c r="F92" s="4" t="str">
        <f>IF(OR(D92="",E92=""),"",D92*E92)</f>
        <v/>
      </c>
      <c r="G92" s="4" t="str">
        <f>IF(D92="","",D92*Parametri!$B$6)</f>
        <v/>
      </c>
      <c r="H92" s="4" t="str">
        <f>IF(F92="","",F92-G92)</f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21"/>
      <c r="F93" s="4" t="str">
        <f>IF(OR(D93="",E93=""),"",D93*E93)</f>
        <v/>
      </c>
      <c r="G93" s="4" t="str">
        <f>IF(D93="","",D93*Parametri!$B$6)</f>
        <v/>
      </c>
      <c r="H93" s="4" t="str">
        <f>IF(F93="","",F93-G93)</f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21"/>
      <c r="F94" s="4" t="str">
        <f>IF(OR(D94="",E94=""),"",D94*E94)</f>
        <v/>
      </c>
      <c r="G94" s="4" t="str">
        <f>IF(D94="","",D94*Parametri!$B$6)</f>
        <v/>
      </c>
      <c r="H94" s="4" t="str">
        <f>IF(F94="","",F94-G94)</f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21"/>
      <c r="F95" s="4" t="str">
        <f>IF(OR(D95="",E95=""),"",D95*E95)</f>
        <v/>
      </c>
      <c r="G95" s="4" t="str">
        <f>IF(D95="","",D95*Parametri!$B$6)</f>
        <v/>
      </c>
      <c r="H95" s="4" t="str">
        <f>IF(F95="","",F95-G95)</f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21"/>
      <c r="F96" s="4" t="str">
        <f>IF(OR(D96="",E96=""),"",D96*E96)</f>
        <v/>
      </c>
      <c r="G96" s="4" t="str">
        <f>IF(D96="","",D96*Parametri!$B$6)</f>
        <v/>
      </c>
      <c r="H96" s="4" t="str">
        <f>IF(F96="","",F96-G96)</f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21"/>
      <c r="F97" s="4" t="str">
        <f>IF(OR(D97="",E97=""),"",D97*E97)</f>
        <v/>
      </c>
      <c r="G97" s="4" t="str">
        <f>IF(D97="","",D97*Parametri!$B$6)</f>
        <v/>
      </c>
      <c r="H97" s="4" t="str">
        <f>IF(F97="","",F97-G97)</f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21"/>
      <c r="F98" s="4" t="str">
        <f>IF(OR(D98="",E98=""),"",D98*E98)</f>
        <v/>
      </c>
      <c r="G98" s="4" t="str">
        <f>IF(D98="","",D98*Parametri!$B$6)</f>
        <v/>
      </c>
      <c r="H98" s="4" t="str">
        <f>IF(F98="","",F98-G98)</f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21"/>
      <c r="F99" s="4" t="str">
        <f>IF(OR(D99="",E99=""),"",D99*E99)</f>
        <v/>
      </c>
      <c r="G99" s="4" t="str">
        <f>IF(D99="","",D99*Parametri!$B$6)</f>
        <v/>
      </c>
      <c r="H99" s="4" t="str">
        <f>IF(F99="","",F99-G99)</f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21"/>
      <c r="F100" s="4" t="str">
        <f>IF(OR(D100="",E100=""),"",D100*E100)</f>
        <v/>
      </c>
      <c r="G100" s="4" t="str">
        <f>IF(D100="","",D100*Parametri!$B$6)</f>
        <v/>
      </c>
      <c r="H100" s="4" t="str">
        <f>IF(F100="","",F100-G100)</f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21"/>
      <c r="F101" s="4" t="str">
        <f>IF(OR(D101="",E101=""),"",D101*E101)</f>
        <v/>
      </c>
      <c r="G101" s="4" t="str">
        <f>IF(D101="","",D101*Parametri!$B$6)</f>
        <v/>
      </c>
      <c r="H101" s="4" t="str">
        <f>IF(F101="","",F101-G101)</f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21"/>
      <c r="F102" s="4" t="str">
        <f>IF(OR(D102="",E102=""),"",D102*E102)</f>
        <v/>
      </c>
      <c r="G102" s="4" t="str">
        <f>IF(D102="","",D102*Parametri!$B$6)</f>
        <v/>
      </c>
      <c r="H102" s="4" t="str">
        <f>IF(F102="","",F102-G102)</f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21"/>
      <c r="F103" s="4" t="str">
        <f>IF(OR(D103="",E103=""),"",D103*E103)</f>
        <v/>
      </c>
      <c r="G103" s="4" t="str">
        <f>IF(D103="","",D103*Parametri!$B$6)</f>
        <v/>
      </c>
      <c r="H103" s="4" t="str">
        <f>IF(F103="","",F103-G103)</f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21"/>
      <c r="F104" s="4" t="str">
        <f>IF(OR(D104="",E104=""),"",D104*E104)</f>
        <v/>
      </c>
      <c r="G104" s="4" t="str">
        <f>IF(D104="","",D104*Parametri!$B$6)</f>
        <v/>
      </c>
      <c r="H104" s="4" t="str">
        <f>IF(F104="","",F104-G104)</f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21"/>
      <c r="F105" s="4" t="str">
        <f>IF(OR(D105="",E105=""),"",D105*E105)</f>
        <v/>
      </c>
      <c r="G105" s="4" t="str">
        <f>IF(D105="","",D105*Parametri!$B$6)</f>
        <v/>
      </c>
      <c r="H105" s="4" t="str">
        <f>IF(F105="","",F105-G105)</f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21"/>
      <c r="F106" s="4" t="str">
        <f>IF(OR(D106="",E106=""),"",D106*E106)</f>
        <v/>
      </c>
      <c r="G106" s="4" t="str">
        <f>IF(D106="","",D106*Parametri!$B$6)</f>
        <v/>
      </c>
      <c r="H106" s="4" t="str">
        <f>IF(F106="","",F106-G106)</f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21"/>
      <c r="F107" s="4" t="str">
        <f>IF(OR(D107="",E107=""),"",D107*E107)</f>
        <v/>
      </c>
      <c r="G107" s="4" t="str">
        <f>IF(D107="","",D107*Parametri!$B$6)</f>
        <v/>
      </c>
      <c r="H107" s="4" t="str">
        <f>IF(F107="","",F107-G107)</f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21"/>
      <c r="F108" s="4" t="str">
        <f>IF(OR(D108="",E108=""),"",D108*E108)</f>
        <v/>
      </c>
      <c r="G108" s="4" t="str">
        <f>IF(D108="","",D108*Parametri!$B$6)</f>
        <v/>
      </c>
      <c r="H108" s="4" t="str">
        <f>IF(F108="","",F108-G108)</f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21"/>
      <c r="F109" s="4" t="str">
        <f>IF(OR(D109="",E109=""),"",D109*E109)</f>
        <v/>
      </c>
      <c r="G109" s="4" t="str">
        <f>IF(D109="","",D109*Parametri!$B$6)</f>
        <v/>
      </c>
      <c r="H109" s="4" t="str">
        <f>IF(F109="","",F109-G109)</f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21"/>
      <c r="F110" s="4" t="str">
        <f>IF(OR(D110="",E110=""),"",D110*E110)</f>
        <v/>
      </c>
      <c r="G110" s="4" t="str">
        <f>IF(D110="","",D110*Parametri!$B$6)</f>
        <v/>
      </c>
      <c r="H110" s="4" t="str">
        <f>IF(F110="","",F110-G110)</f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21"/>
      <c r="F111" s="4" t="str">
        <f>IF(OR(D111="",E111=""),"",D111*E111)</f>
        <v/>
      </c>
      <c r="G111" s="4" t="str">
        <f>IF(D111="","",D111*Parametri!$B$6)</f>
        <v/>
      </c>
      <c r="H111" s="4" t="str">
        <f>IF(F111="","",F111-G111)</f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21"/>
      <c r="F112" s="4" t="str">
        <f>IF(OR(D112="",E112=""),"",D112*E112)</f>
        <v/>
      </c>
      <c r="G112" s="4" t="str">
        <f>IF(D112="","",D112*Parametri!$B$6)</f>
        <v/>
      </c>
      <c r="H112" s="4" t="str">
        <f>IF(F112="","",F112-G112)</f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21"/>
      <c r="F113" s="4" t="str">
        <f>IF(OR(D113="",E113=""),"",D113*E113)</f>
        <v/>
      </c>
      <c r="G113" s="4" t="str">
        <f>IF(D113="","",D113*Parametri!$B$6)</f>
        <v/>
      </c>
      <c r="H113" s="4" t="str">
        <f>IF(F113="","",F113-G113)</f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21"/>
      <c r="F114" s="4" t="str">
        <f>IF(OR(D114="",E114=""),"",D114*E114)</f>
        <v/>
      </c>
      <c r="G114" s="4" t="str">
        <f>IF(D114="","",D114*Parametri!$B$6)</f>
        <v/>
      </c>
      <c r="H114" s="4" t="str">
        <f>IF(F114="","",F114-G114)</f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21"/>
      <c r="F115" s="4" t="str">
        <f>IF(OR(D115="",E115=""),"",D115*E115)</f>
        <v/>
      </c>
      <c r="G115" s="4" t="str">
        <f>IF(D115="","",D115*Parametri!$B$6)</f>
        <v/>
      </c>
      <c r="H115" s="4" t="str">
        <f>IF(F115="","",F115-G115)</f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21"/>
      <c r="F116" s="4" t="str">
        <f>IF(OR(D116="",E116=""),"",D116*E116)</f>
        <v/>
      </c>
      <c r="G116" s="4" t="str">
        <f>IF(D116="","",D116*Parametri!$B$6)</f>
        <v/>
      </c>
      <c r="H116" s="4" t="str">
        <f>IF(F116="","",F116-G116)</f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21"/>
      <c r="F117" s="4" t="str">
        <f>IF(OR(D117="",E117=""),"",D117*E117)</f>
        <v/>
      </c>
      <c r="G117" s="4" t="str">
        <f>IF(D117="","",D117*Parametri!$B$6)</f>
        <v/>
      </c>
      <c r="H117" s="4" t="str">
        <f>IF(F117="","",F117-G117)</f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21"/>
      <c r="F118" s="4" t="str">
        <f>IF(OR(D118="",E118=""),"",D118*E118)</f>
        <v/>
      </c>
      <c r="G118" s="4" t="str">
        <f>IF(D118="","",D118*Parametri!$B$6)</f>
        <v/>
      </c>
      <c r="H118" s="4" t="str">
        <f>IF(F118="","",F118-G118)</f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21"/>
      <c r="F119" s="4" t="str">
        <f>IF(OR(D119="",E119=""),"",D119*E119)</f>
        <v/>
      </c>
      <c r="G119" s="4" t="str">
        <f>IF(D119="","",D119*Parametri!$B$6)</f>
        <v/>
      </c>
      <c r="H119" s="4" t="str">
        <f>IF(F119="","",F119-G119)</f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21"/>
      <c r="F120" s="4" t="str">
        <f>IF(OR(D120="",E120=""),"",D120*E120)</f>
        <v/>
      </c>
      <c r="G120" s="4" t="str">
        <f>IF(D120="","",D120*Parametri!$B$6)</f>
        <v/>
      </c>
      <c r="H120" s="4" t="str">
        <f>IF(F120="","",F120-G120)</f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21"/>
      <c r="F121" s="4" t="str">
        <f>IF(OR(D121="",E121=""),"",D121*E121)</f>
        <v/>
      </c>
      <c r="G121" s="4" t="str">
        <f>IF(D121="","",D121*Parametri!$B$6)</f>
        <v/>
      </c>
      <c r="H121" s="4" t="str">
        <f>IF(F121="","",F121-G121)</f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21"/>
      <c r="F122" s="4" t="str">
        <f>IF(OR(D122="",E122=""),"",D122*E122)</f>
        <v/>
      </c>
      <c r="G122" s="4" t="str">
        <f>IF(D122="","",D122*Parametri!$B$6)</f>
        <v/>
      </c>
      <c r="H122" s="4" t="str">
        <f>IF(F122="","",F122-G122)</f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21"/>
      <c r="F123" s="4" t="str">
        <f>IF(OR(D123="",E123=""),"",D123*E123)</f>
        <v/>
      </c>
      <c r="G123" s="4" t="str">
        <f>IF(D123="","",D123*Parametri!$B$6)</f>
        <v/>
      </c>
      <c r="H123" s="4" t="str">
        <f>IF(F123="","",F123-G123)</f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21"/>
      <c r="F124" s="4" t="str">
        <f>IF(OR(D124="",E124=""),"",D124*E124)</f>
        <v/>
      </c>
      <c r="G124" s="4" t="str">
        <f>IF(D124="","",D124*Parametri!$B$6)</f>
        <v/>
      </c>
      <c r="H124" s="4" t="str">
        <f>IF(F124="","",F124-G124)</f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21"/>
      <c r="F125" s="4" t="str">
        <f>IF(OR(D125="",E125=""),"",D125*E125)</f>
        <v/>
      </c>
      <c r="G125" s="4" t="str">
        <f>IF(D125="","",D125*Parametri!$B$6)</f>
        <v/>
      </c>
      <c r="H125" s="4" t="str">
        <f>IF(F125="","",F125-G125)</f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21"/>
      <c r="F126" s="4" t="str">
        <f>IF(OR(D126="",E126=""),"",D126*E126)</f>
        <v/>
      </c>
      <c r="G126" s="4" t="str">
        <f>IF(D126="","",D126*Parametri!$B$6)</f>
        <v/>
      </c>
      <c r="H126" s="4" t="str">
        <f>IF(F126="","",F126-G126)</f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21"/>
      <c r="F127" s="4" t="str">
        <f>IF(OR(D127="",E127=""),"",D127*E127)</f>
        <v/>
      </c>
      <c r="G127" s="4" t="str">
        <f>IF(D127="","",D127*Parametri!$B$6)</f>
        <v/>
      </c>
      <c r="H127" s="4" t="str">
        <f>IF(F127="","",F127-G127)</f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21"/>
      <c r="F128" s="4" t="str">
        <f>IF(OR(D128="",E128=""),"",D128*E128)</f>
        <v/>
      </c>
      <c r="G128" s="4" t="str">
        <f>IF(D128="","",D128*Parametri!$B$6)</f>
        <v/>
      </c>
      <c r="H128" s="4" t="str">
        <f>IF(F128="","",F128-G128)</f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21"/>
      <c r="F129" s="4" t="str">
        <f>IF(OR(D129="",E129=""),"",D129*E129)</f>
        <v/>
      </c>
      <c r="G129" s="4" t="str">
        <f>IF(D129="","",D129*Parametri!$B$6)</f>
        <v/>
      </c>
      <c r="H129" s="4" t="str">
        <f>IF(F129="","",F129-G129)</f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21"/>
      <c r="F130" s="4" t="str">
        <f>IF(OR(D130="",E130=""),"",D130*E130)</f>
        <v/>
      </c>
      <c r="G130" s="4" t="str">
        <f>IF(D130="","",D130*Parametri!$B$6)</f>
        <v/>
      </c>
      <c r="H130" s="4" t="str">
        <f>IF(F130="","",F130-G130)</f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21"/>
      <c r="F131" s="4" t="str">
        <f>IF(OR(D131="",E131=""),"",D131*E131)</f>
        <v/>
      </c>
      <c r="G131" s="4" t="str">
        <f>IF(D131="","",D131*Parametri!$B$6)</f>
        <v/>
      </c>
      <c r="H131" s="4" t="str">
        <f>IF(F131="","",F131-G131)</f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21"/>
      <c r="F132" s="4" t="str">
        <f>IF(OR(D132="",E132=""),"",D132*E132)</f>
        <v/>
      </c>
      <c r="G132" s="4" t="str">
        <f>IF(D132="","",D132*Parametri!$B$6)</f>
        <v/>
      </c>
      <c r="H132" s="4" t="str">
        <f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21"/>
      <c r="F133" s="4" t="str">
        <f>IF(OR(D133="",E133=""),"",D133*E133)</f>
        <v/>
      </c>
      <c r="G133" s="4" t="str">
        <f>IF(D133="","",D133*Parametri!$B$6)</f>
        <v/>
      </c>
      <c r="H133" s="4" t="str">
        <f>IF(F133="","",F133-G133)</f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21"/>
      <c r="F134" s="4" t="str">
        <f>IF(OR(D134="",E134=""),"",D134*E134)</f>
        <v/>
      </c>
      <c r="G134" s="4" t="str">
        <f>IF(D134="","",D134*Parametri!$B$6)</f>
        <v/>
      </c>
      <c r="H134" s="4" t="str">
        <f>IF(F134="","",F134-G134)</f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21"/>
      <c r="F135" s="4" t="str">
        <f>IF(OR(D135="",E135=""),"",D135*E135)</f>
        <v/>
      </c>
      <c r="G135" s="4" t="str">
        <f>IF(D135="","",D135*Parametri!$B$6)</f>
        <v/>
      </c>
      <c r="H135" s="4" t="str">
        <f>IF(F135="","",F135-G135)</f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21"/>
      <c r="F136" s="4" t="str">
        <f>IF(OR(D136="",E136=""),"",D136*E136)</f>
        <v/>
      </c>
      <c r="G136" s="4" t="str">
        <f>IF(D136="","",D136*Parametri!$B$6)</f>
        <v/>
      </c>
      <c r="H136" s="4" t="str">
        <f>IF(F136="","",F136-G136)</f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21"/>
      <c r="F137" s="4" t="str">
        <f>IF(OR(D137="",E137=""),"",D137*E137)</f>
        <v/>
      </c>
      <c r="G137" s="4" t="str">
        <f>IF(D137="","",D137*Parametri!$B$6)</f>
        <v/>
      </c>
      <c r="H137" s="4" t="str">
        <f>IF(F137="","",F137-G137)</f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21"/>
      <c r="F138" s="4" t="str">
        <f>IF(OR(D138="",E138=""),"",D138*E138)</f>
        <v/>
      </c>
      <c r="G138" s="4" t="str">
        <f>IF(D138="","",D138*Parametri!$B$6)</f>
        <v/>
      </c>
      <c r="H138" s="4" t="str">
        <f>IF(F138="","",F138-G138)</f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21"/>
      <c r="F139" s="4" t="str">
        <f>IF(OR(D139="",E139=""),"",D139*E139)</f>
        <v/>
      </c>
      <c r="G139" s="4" t="str">
        <f>IF(D139="","",D139*Parametri!$B$6)</f>
        <v/>
      </c>
      <c r="H139" s="4" t="str">
        <f>IF(F139="","",F139-G139)</f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21"/>
      <c r="F140" s="4" t="str">
        <f>IF(OR(D140="",E140=""),"",D140*E140)</f>
        <v/>
      </c>
      <c r="G140" s="4" t="str">
        <f>IF(D140="","",D140*Parametri!$B$6)</f>
        <v/>
      </c>
      <c r="H140" s="4" t="str">
        <f>IF(F140="","",F140-G140)</f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21"/>
      <c r="F141" s="4" t="str">
        <f>IF(OR(D141="",E141=""),"",D141*E141)</f>
        <v/>
      </c>
      <c r="G141" s="4" t="str">
        <f>IF(D141="","",D141*Parametri!$B$6)</f>
        <v/>
      </c>
      <c r="H141" s="4" t="str">
        <f>IF(F141="","",F141-G141)</f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21"/>
      <c r="F142" s="4" t="str">
        <f>IF(OR(D142="",E142=""),"",D142*E142)</f>
        <v/>
      </c>
      <c r="G142" s="4" t="str">
        <f>IF(D142="","",D142*Parametri!$B$6)</f>
        <v/>
      </c>
      <c r="H142" s="4" t="str">
        <f>IF(F142="","",F142-G142)</f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21"/>
      <c r="F143" s="4" t="str">
        <f>IF(OR(D143="",E143=""),"",D143*E143)</f>
        <v/>
      </c>
      <c r="G143" s="4" t="str">
        <f>IF(D143="","",D143*Parametri!$B$6)</f>
        <v/>
      </c>
      <c r="H143" s="4" t="str">
        <f>IF(F143="","",F143-G143)</f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21"/>
      <c r="F144" s="4" t="str">
        <f>IF(OR(D144="",E144=""),"",D144*E144)</f>
        <v/>
      </c>
      <c r="G144" s="4" t="str">
        <f>IF(D144="","",D144*Parametri!$B$6)</f>
        <v/>
      </c>
      <c r="H144" s="4" t="str">
        <f>IF(F144="","",F144-G144)</f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21"/>
      <c r="F145" s="4" t="str">
        <f>IF(OR(D145="",E145=""),"",D145*E145)</f>
        <v/>
      </c>
      <c r="G145" s="4" t="str">
        <f>IF(D145="","",D145*Parametri!$B$6)</f>
        <v/>
      </c>
      <c r="H145" s="4" t="str">
        <f>IF(F145="","",F145-G145)</f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21"/>
      <c r="F146" s="4" t="str">
        <f>IF(OR(D146="",E146=""),"",D146*E146)</f>
        <v/>
      </c>
      <c r="G146" s="4" t="str">
        <f>IF(D146="","",D146*Parametri!$B$6)</f>
        <v/>
      </c>
      <c r="H146" s="4" t="str">
        <f>IF(F146="","",F146-G146)</f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21"/>
      <c r="F147" s="4" t="str">
        <f>IF(OR(D147="",E147=""),"",D147*E147)</f>
        <v/>
      </c>
      <c r="G147" s="4" t="str">
        <f>IF(D147="","",D147*Parametri!$B$6)</f>
        <v/>
      </c>
      <c r="H147" s="4" t="str">
        <f>IF(F147="","",F147-G147)</f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21"/>
      <c r="F148" s="4" t="str">
        <f>IF(OR(D148="",E148=""),"",D148*E148)</f>
        <v/>
      </c>
      <c r="G148" s="4" t="str">
        <f>IF(D148="","",D148*Parametri!$B$6)</f>
        <v/>
      </c>
      <c r="H148" s="4" t="str">
        <f>IF(F148="","",F148-G148)</f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21"/>
      <c r="F149" s="4" t="str">
        <f>IF(OR(D149="",E149=""),"",D149*E149)</f>
        <v/>
      </c>
      <c r="G149" s="4" t="str">
        <f>IF(D149="","",D149*Parametri!$B$6)</f>
        <v/>
      </c>
      <c r="H149" s="4" t="str">
        <f>IF(F149="","",F149-G149)</f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21"/>
      <c r="F150" s="4" t="str">
        <f>IF(OR(D150="",E150=""),"",D150*E150)</f>
        <v/>
      </c>
      <c r="G150" s="4" t="str">
        <f>IF(D150="","",D150*Parametri!$B$6)</f>
        <v/>
      </c>
      <c r="H150" s="4" t="str">
        <f>IF(F150="","",F150-G150)</f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21"/>
      <c r="F151" s="4" t="str">
        <f>IF(OR(D151="",E151=""),"",D151*E151)</f>
        <v/>
      </c>
      <c r="G151" s="4" t="str">
        <f>IF(D151="","",D151*Parametri!$B$6)</f>
        <v/>
      </c>
      <c r="H151" s="4" t="str">
        <f>IF(F151="","",F151-G151)</f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21"/>
      <c r="F152" s="4" t="str">
        <f>IF(OR(D152="",E152=""),"",D152*E152)</f>
        <v/>
      </c>
      <c r="G152" s="4" t="str">
        <f>IF(D152="","",D152*Parametri!$B$6)</f>
        <v/>
      </c>
      <c r="H152" s="4" t="str">
        <f>IF(F152="","",F152-G152)</f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21"/>
      <c r="F153" s="4" t="str">
        <f>IF(OR(D153="",E153=""),"",D153*E153)</f>
        <v/>
      </c>
      <c r="G153" s="4" t="str">
        <f>IF(D153="","",D153*Parametri!$B$6)</f>
        <v/>
      </c>
      <c r="H153" s="4" t="str">
        <f>IF(F153="","",F153-G153)</f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21"/>
      <c r="F154" s="4" t="str">
        <f>IF(OR(D154="",E154=""),"",D154*E154)</f>
        <v/>
      </c>
      <c r="G154" s="4" t="str">
        <f>IF(D154="","",D154*Parametri!$B$6)</f>
        <v/>
      </c>
      <c r="H154" s="4" t="str">
        <f>IF(F154="","",F154-G154)</f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21"/>
      <c r="F155" s="4" t="str">
        <f>IF(OR(D155="",E155=""),"",D155*E155)</f>
        <v/>
      </c>
      <c r="G155" s="4" t="str">
        <f>IF(D155="","",D155*Parametri!$B$6)</f>
        <v/>
      </c>
      <c r="H155" s="4" t="str">
        <f>IF(F155="","",F155-G155)</f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21"/>
      <c r="F156" s="4" t="str">
        <f>IF(OR(D156="",E156=""),"",D156*E156)</f>
        <v/>
      </c>
      <c r="G156" s="4" t="str">
        <f>IF(D156="","",D156*Parametri!$B$6)</f>
        <v/>
      </c>
      <c r="H156" s="4" t="str">
        <f>IF(F156="","",F156-G156)</f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21"/>
      <c r="F157" s="4" t="str">
        <f>IF(OR(D157="",E157=""),"",D157*E157)</f>
        <v/>
      </c>
      <c r="G157" s="4" t="str">
        <f>IF(D157="","",D157*Parametri!$B$6)</f>
        <v/>
      </c>
      <c r="H157" s="4" t="str">
        <f>IF(F157="","",F157-G157)</f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21"/>
      <c r="F158" s="4" t="str">
        <f>IF(OR(D158="",E158=""),"",D158*E158)</f>
        <v/>
      </c>
      <c r="G158" s="4" t="str">
        <f>IF(D158="","",D158*Parametri!$B$6)</f>
        <v/>
      </c>
      <c r="H158" s="4" t="str">
        <f>IF(F158="","",F158-G158)</f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21"/>
      <c r="F159" s="4" t="str">
        <f>IF(OR(D159="",E159=""),"",D159*E159)</f>
        <v/>
      </c>
      <c r="G159" s="4" t="str">
        <f>IF(D159="","",D159*Parametri!$B$6)</f>
        <v/>
      </c>
      <c r="H159" s="4" t="str">
        <f>IF(F159="","",F159-G159)</f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21"/>
      <c r="F160" s="4" t="str">
        <f>IF(OR(D160="",E160=""),"",D160*E160)</f>
        <v/>
      </c>
      <c r="G160" s="4" t="str">
        <f>IF(D160="","",D160*Parametri!$B$6)</f>
        <v/>
      </c>
      <c r="H160" s="4" t="str">
        <f>IF(F160="","",F160-G160)</f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21"/>
      <c r="F161" s="4" t="str">
        <f>IF(OR(D161="",E161=""),"",D161*E161)</f>
        <v/>
      </c>
      <c r="G161" s="4" t="str">
        <f>IF(D161="","",D161*Parametri!$B$6)</f>
        <v/>
      </c>
      <c r="H161" s="4" t="str">
        <f>IF(F161="","",F161-G161)</f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21"/>
      <c r="F162" s="4" t="str">
        <f>IF(OR(D162="",E162=""),"",D162*E162)</f>
        <v/>
      </c>
      <c r="G162" s="4" t="str">
        <f>IF(D162="","",D162*Parametri!$B$6)</f>
        <v/>
      </c>
      <c r="H162" s="4" t="str">
        <f>IF(F162="","",F162-G162)</f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21"/>
      <c r="F163" s="4" t="str">
        <f>IF(OR(D163="",E163=""),"",D163*E163)</f>
        <v/>
      </c>
      <c r="G163" s="4" t="str">
        <f>IF(D163="","",D163*Parametri!$B$6)</f>
        <v/>
      </c>
      <c r="H163" s="4" t="str">
        <f>IF(F163="","",F163-G163)</f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21"/>
      <c r="F164" s="4" t="str">
        <f>IF(OR(D164="",E164=""),"",D164*E164)</f>
        <v/>
      </c>
      <c r="G164" s="4" t="str">
        <f>IF(D164="","",D164*Parametri!$B$6)</f>
        <v/>
      </c>
      <c r="H164" s="4" t="str">
        <f>IF(F164="","",F164-G164)</f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21"/>
      <c r="F165" s="4" t="str">
        <f>IF(OR(D165="",E165=""),"",D165*E165)</f>
        <v/>
      </c>
      <c r="G165" s="4" t="str">
        <f>IF(D165="","",D165*Parametri!$B$6)</f>
        <v/>
      </c>
      <c r="H165" s="4" t="str">
        <f>IF(F165="","",F165-G165)</f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21"/>
      <c r="F166" s="4" t="str">
        <f>IF(OR(D166="",E166=""),"",D166*E166)</f>
        <v/>
      </c>
      <c r="G166" s="4" t="str">
        <f>IF(D166="","",D166*Parametri!$B$6)</f>
        <v/>
      </c>
      <c r="H166" s="4" t="str">
        <f>IF(F166="","",F166-G166)</f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21"/>
      <c r="F167" s="4" t="str">
        <f>IF(OR(D167="",E167=""),"",D167*E167)</f>
        <v/>
      </c>
      <c r="G167" s="4" t="str">
        <f>IF(D167="","",D167*Parametri!$B$6)</f>
        <v/>
      </c>
      <c r="H167" s="4" t="str">
        <f>IF(F167="","",F167-G167)</f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21"/>
      <c r="F168" s="4" t="str">
        <f>IF(OR(D168="",E168=""),"",D168*E168)</f>
        <v/>
      </c>
      <c r="G168" s="4" t="str">
        <f>IF(D168="","",D168*Parametri!$B$6)</f>
        <v/>
      </c>
      <c r="H168" s="4" t="str">
        <f>IF(F168="","",F168-G168)</f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21"/>
      <c r="F169" s="4" t="str">
        <f>IF(OR(D169="",E169=""),"",D169*E169)</f>
        <v/>
      </c>
      <c r="G169" s="4" t="str">
        <f>IF(D169="","",D169*Parametri!$B$6)</f>
        <v/>
      </c>
      <c r="H169" s="4" t="str">
        <f>IF(F169="","",F169-G169)</f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21"/>
      <c r="F170" s="4" t="str">
        <f>IF(OR(D170="",E170=""),"",D170*E170)</f>
        <v/>
      </c>
      <c r="G170" s="4" t="str">
        <f>IF(D170="","",D170*Parametri!$B$6)</f>
        <v/>
      </c>
      <c r="H170" s="4" t="str">
        <f>IF(F170="","",F170-G170)</f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21"/>
      <c r="F171" s="4" t="str">
        <f>IF(OR(D171="",E171=""),"",D171*E171)</f>
        <v/>
      </c>
      <c r="G171" s="4" t="str">
        <f>IF(D171="","",D171*Parametri!$B$6)</f>
        <v/>
      </c>
      <c r="H171" s="4" t="str">
        <f>IF(F171="","",F171-G171)</f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21"/>
      <c r="F172" s="4" t="str">
        <f>IF(OR(D172="",E172=""),"",D172*E172)</f>
        <v/>
      </c>
      <c r="G172" s="4" t="str">
        <f>IF(D172="","",D172*Parametri!$B$6)</f>
        <v/>
      </c>
      <c r="H172" s="4" t="str">
        <f>IF(F172="","",F172-G172)</f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21"/>
      <c r="F173" s="4" t="str">
        <f>IF(OR(D173="",E173=""),"",D173*E173)</f>
        <v/>
      </c>
      <c r="G173" s="4" t="str">
        <f>IF(D173="","",D173*Parametri!$B$6)</f>
        <v/>
      </c>
      <c r="H173" s="4" t="str">
        <f>IF(F173="","",F173-G173)</f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21"/>
      <c r="F174" s="4" t="str">
        <f>IF(OR(D174="",E174=""),"",D174*E174)</f>
        <v/>
      </c>
      <c r="G174" s="4" t="str">
        <f>IF(D174="","",D174*Parametri!$B$6)</f>
        <v/>
      </c>
      <c r="H174" s="4" t="str">
        <f>IF(F174="","",F174-G174)</f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21"/>
      <c r="F175" s="4" t="str">
        <f>IF(OR(D175="",E175=""),"",D175*E175)</f>
        <v/>
      </c>
      <c r="G175" s="4" t="str">
        <f>IF(D175="","",D175*Parametri!$B$6)</f>
        <v/>
      </c>
      <c r="H175" s="4" t="str">
        <f>IF(F175="","",F175-G175)</f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21"/>
      <c r="F176" s="4" t="str">
        <f>IF(OR(D176="",E176=""),"",D176*E176)</f>
        <v/>
      </c>
      <c r="G176" s="4" t="str">
        <f>IF(D176="","",D176*Parametri!$B$6)</f>
        <v/>
      </c>
      <c r="H176" s="4" t="str">
        <f>IF(F176="","",F176-G176)</f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21"/>
      <c r="F177" s="4" t="str">
        <f>IF(OR(D177="",E177=""),"",D177*E177)</f>
        <v/>
      </c>
      <c r="G177" s="4" t="str">
        <f>IF(D177="","",D177*Parametri!$B$6)</f>
        <v/>
      </c>
      <c r="H177" s="4" t="str">
        <f>IF(F177="","",F177-G177)</f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21"/>
      <c r="F178" s="4" t="str">
        <f>IF(OR(D178="",E178=""),"",D178*E178)</f>
        <v/>
      </c>
      <c r="G178" s="4" t="str">
        <f>IF(D178="","",D178*Parametri!$B$6)</f>
        <v/>
      </c>
      <c r="H178" s="4" t="str">
        <f>IF(F178="","",F178-G178)</f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21"/>
      <c r="F179" s="4" t="str">
        <f>IF(OR(D179="",E179=""),"",D179*E179)</f>
        <v/>
      </c>
      <c r="G179" s="4" t="str">
        <f>IF(D179="","",D179*Parametri!$B$6)</f>
        <v/>
      </c>
      <c r="H179" s="4" t="str">
        <f>IF(F179="","",F179-G179)</f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21"/>
      <c r="F180" s="4" t="str">
        <f>IF(OR(D180="",E180=""),"",D180*E180)</f>
        <v/>
      </c>
      <c r="G180" s="4" t="str">
        <f>IF(D180="","",D180*Parametri!$B$6)</f>
        <v/>
      </c>
      <c r="H180" s="4" t="str">
        <f>IF(F180="","",F180-G180)</f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21"/>
      <c r="F181" s="4" t="str">
        <f>IF(OR(D181="",E181=""),"",D181*E181)</f>
        <v/>
      </c>
      <c r="G181" s="4" t="str">
        <f>IF(D181="","",D181*Parametri!$B$6)</f>
        <v/>
      </c>
      <c r="H181" s="4" t="str">
        <f>IF(F181="","",F181-G181)</f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21"/>
      <c r="F182" s="4" t="str">
        <f>IF(OR(D182="",E182=""),"",D182*E182)</f>
        <v/>
      </c>
      <c r="G182" s="4" t="str">
        <f>IF(D182="","",D182*Parametri!$B$6)</f>
        <v/>
      </c>
      <c r="H182" s="4" t="str">
        <f>IF(F182="","",F182-G182)</f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21"/>
      <c r="F183" s="4" t="str">
        <f>IF(OR(D183="",E183=""),"",D183*E183)</f>
        <v/>
      </c>
      <c r="G183" s="4" t="str">
        <f>IF(D183="","",D183*Parametri!$B$6)</f>
        <v/>
      </c>
      <c r="H183" s="4" t="str">
        <f>IF(F183="","",F183-G183)</f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21"/>
      <c r="F184" s="4" t="str">
        <f>IF(OR(D184="",E184=""),"",D184*E184)</f>
        <v/>
      </c>
      <c r="G184" s="4" t="str">
        <f>IF(D184="","",D184*Parametri!$B$6)</f>
        <v/>
      </c>
      <c r="H184" s="4" t="str">
        <f>IF(F184="","",F184-G184)</f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21"/>
      <c r="F185" s="4" t="str">
        <f>IF(OR(D185="",E185=""),"",D185*E185)</f>
        <v/>
      </c>
      <c r="G185" s="4" t="str">
        <f>IF(D185="","",D185*Parametri!$B$6)</f>
        <v/>
      </c>
      <c r="H185" s="4" t="str">
        <f>IF(F185="","",F185-G185)</f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21"/>
      <c r="F186" s="4" t="str">
        <f>IF(OR(D186="",E186=""),"",D186*E186)</f>
        <v/>
      </c>
      <c r="G186" s="4" t="str">
        <f>IF(D186="","",D186*Parametri!$B$6)</f>
        <v/>
      </c>
      <c r="H186" s="4" t="str">
        <f>IF(F186="","",F186-G186)</f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21"/>
      <c r="F187" s="4" t="str">
        <f>IF(OR(D187="",E187=""),"",D187*E187)</f>
        <v/>
      </c>
      <c r="G187" s="4" t="str">
        <f>IF(D187="","",D187*Parametri!$B$6)</f>
        <v/>
      </c>
      <c r="H187" s="4" t="str">
        <f>IF(F187="","",F187-G187)</f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21"/>
      <c r="F188" s="4" t="str">
        <f>IF(OR(D188="",E188=""),"",D188*E188)</f>
        <v/>
      </c>
      <c r="G188" s="4" t="str">
        <f>IF(D188="","",D188*Parametri!$B$6)</f>
        <v/>
      </c>
      <c r="H188" s="4" t="str">
        <f>IF(F188="","",F188-G188)</f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21"/>
      <c r="F189" s="4" t="str">
        <f>IF(OR(D189="",E189=""),"",D189*E189)</f>
        <v/>
      </c>
      <c r="G189" s="4" t="str">
        <f>IF(D189="","",D189*Parametri!$B$6)</f>
        <v/>
      </c>
      <c r="H189" s="4" t="str">
        <f>IF(F189="","",F189-G189)</f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21"/>
      <c r="F190" s="4" t="str">
        <f>IF(OR(D190="",E190=""),"",D190*E190)</f>
        <v/>
      </c>
      <c r="G190" s="4" t="str">
        <f>IF(D190="","",D190*Parametri!$B$6)</f>
        <v/>
      </c>
      <c r="H190" s="4" t="str">
        <f>IF(F190="","",F190-G190)</f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21"/>
      <c r="F191" s="4" t="str">
        <f>IF(OR(D191="",E191=""),"",D191*E191)</f>
        <v/>
      </c>
      <c r="G191" s="4" t="str">
        <f>IF(D191="","",D191*Parametri!$B$6)</f>
        <v/>
      </c>
      <c r="H191" s="4" t="str">
        <f>IF(F191="","",F191-G191)</f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21"/>
      <c r="F192" s="4" t="str">
        <f>IF(OR(D192="",E192=""),"",D192*E192)</f>
        <v/>
      </c>
      <c r="G192" s="4" t="str">
        <f>IF(D192="","",D192*Parametri!$B$6)</f>
        <v/>
      </c>
      <c r="H192" s="4" t="str">
        <f>IF(F192="","",F192-G192)</f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21"/>
      <c r="F193" s="4" t="str">
        <f>IF(OR(D193="",E193=""),"",D193*E193)</f>
        <v/>
      </c>
      <c r="G193" s="4" t="str">
        <f>IF(D193="","",D193*Parametri!$B$6)</f>
        <v/>
      </c>
      <c r="H193" s="4" t="str">
        <f>IF(F193="","",F193-G193)</f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21"/>
      <c r="F194" s="4" t="str">
        <f>IF(OR(D194="",E194=""),"",D194*E194)</f>
        <v/>
      </c>
      <c r="G194" s="4" t="str">
        <f>IF(D194="","",D194*Parametri!$B$6)</f>
        <v/>
      </c>
      <c r="H194" s="4" t="str">
        <f>IF(F194="","",F194-G194)</f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21"/>
      <c r="F195" s="4" t="str">
        <f>IF(OR(D195="",E195=""),"",D195*E195)</f>
        <v/>
      </c>
      <c r="G195" s="4" t="str">
        <f>IF(D195="","",D195*Parametri!$B$6)</f>
        <v/>
      </c>
      <c r="H195" s="4" t="str">
        <f>IF(F195="","",F195-G195)</f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21"/>
      <c r="F196" s="4" t="str">
        <f>IF(OR(D196="",E196=""),"",D196*E196)</f>
        <v/>
      </c>
      <c r="G196" s="4" t="str">
        <f>IF(D196="","",D196*Parametri!$B$6)</f>
        <v/>
      </c>
      <c r="H196" s="4" t="str">
        <f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21"/>
      <c r="F197" s="4" t="str">
        <f>IF(OR(D197="",E197=""),"",D197*E197)</f>
        <v/>
      </c>
      <c r="G197" s="4" t="str">
        <f>IF(D197="","",D197*Parametri!$B$6)</f>
        <v/>
      </c>
      <c r="H197" s="4" t="str">
        <f>IF(F197="","",F197-G197)</f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21"/>
      <c r="F198" s="4" t="str">
        <f>IF(OR(D198="",E198=""),"",D198*E198)</f>
        <v/>
      </c>
      <c r="G198" s="4" t="str">
        <f>IF(D198="","",D198*Parametri!$B$6)</f>
        <v/>
      </c>
      <c r="H198" s="4" t="str">
        <f>IF(F198="","",F198-G198)</f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21"/>
      <c r="F199" s="4" t="str">
        <f>IF(OR(D199="",E199=""),"",D199*E199)</f>
        <v/>
      </c>
      <c r="G199" s="4" t="str">
        <f>IF(D199="","",D199*Parametri!$B$6)</f>
        <v/>
      </c>
      <c r="H199" s="4" t="str">
        <f>IF(F199="","",F199-G199)</f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21"/>
      <c r="F200" s="4" t="str">
        <f>IF(OR(D200="",E200=""),"",D200*E200)</f>
        <v/>
      </c>
      <c r="G200" s="4" t="str">
        <f>IF(D200="","",D200*Parametri!$B$6)</f>
        <v/>
      </c>
      <c r="H200" s="4" t="str">
        <f>IF(F200="","",F200-G200)</f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21"/>
      <c r="F201" s="4" t="str">
        <f>IF(OR(D201="",E201=""),"",D201*E201)</f>
        <v/>
      </c>
      <c r="G201" s="4" t="str">
        <f>IF(D201="","",D201*Parametri!$B$6)</f>
        <v/>
      </c>
      <c r="H201" s="4" t="str">
        <f>IF(F201="","",F201-G201)</f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21"/>
      <c r="F202" s="4" t="str">
        <f>IF(OR(D202="",E202=""),"",D202*E202)</f>
        <v/>
      </c>
      <c r="G202" s="4" t="str">
        <f>IF(D202="","",D202*Parametri!$B$6)</f>
        <v/>
      </c>
      <c r="H202" s="4" t="str">
        <f>IF(F202="","",F202-G202)</f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21"/>
      <c r="F203" s="4" t="str">
        <f>IF(OR(D203="",E203=""),"",D203*E203)</f>
        <v/>
      </c>
      <c r="G203" s="4" t="str">
        <f>IF(D203="","",D203*Parametri!$B$6)</f>
        <v/>
      </c>
      <c r="H203" s="4" t="str">
        <f>IF(F203="","",F203-G203)</f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21"/>
      <c r="F204" s="4" t="str">
        <f>IF(OR(D204="",E204=""),"",D204*E204)</f>
        <v/>
      </c>
      <c r="G204" s="4" t="str">
        <f>IF(D204="","",D204*Parametri!$B$6)</f>
        <v/>
      </c>
      <c r="H204" s="4" t="str">
        <f>IF(F204="","",F204-G204)</f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21"/>
      <c r="F205" s="4" t="str">
        <f>IF(OR(D205="",E205=""),"",D205*E205)</f>
        <v/>
      </c>
      <c r="G205" s="4" t="str">
        <f>IF(D205="","",D205*Parametri!$B$6)</f>
        <v/>
      </c>
      <c r="H205" s="4" t="str">
        <f>IF(F205="","",F205-G205)</f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21"/>
      <c r="F206" s="4" t="str">
        <f>IF(OR(D206="",E206=""),"",D206*E206)</f>
        <v/>
      </c>
      <c r="G206" s="4" t="str">
        <f>IF(D206="","",D206*Parametri!$B$6)</f>
        <v/>
      </c>
      <c r="H206" s="4" t="str">
        <f>IF(F206="","",F206-G206)</f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21"/>
      <c r="F207" s="4" t="str">
        <f>IF(OR(D207="",E207=""),"",D207*E207)</f>
        <v/>
      </c>
      <c r="G207" s="4" t="str">
        <f>IF(D207="","",D207*Parametri!$B$6)</f>
        <v/>
      </c>
      <c r="H207" s="4" t="str">
        <f>IF(F207="","",F207-G207)</f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21"/>
      <c r="F208" s="4" t="str">
        <f>IF(OR(D208="",E208=""),"",D208*E208)</f>
        <v/>
      </c>
      <c r="G208" s="4" t="str">
        <f>IF(D208="","",D208*Parametri!$B$6)</f>
        <v/>
      </c>
      <c r="H208" s="4" t="str">
        <f>IF(F208="","",F208-G208)</f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21"/>
      <c r="F209" s="4" t="str">
        <f>IF(OR(D209="",E209=""),"",D209*E209)</f>
        <v/>
      </c>
      <c r="G209" s="4" t="str">
        <f>IF(D209="","",D209*Parametri!$B$6)</f>
        <v/>
      </c>
      <c r="H209" s="4" t="str">
        <f>IF(F209="","",F209-G209)</f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21"/>
      <c r="F210" s="4" t="str">
        <f>IF(OR(D210="",E210=""),"",D210*E210)</f>
        <v/>
      </c>
      <c r="G210" s="4" t="str">
        <f>IF(D210="","",D210*Parametri!$B$6)</f>
        <v/>
      </c>
      <c r="H210" s="4" t="str">
        <f>IF(F210="","",F210-G210)</f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21"/>
      <c r="F211" s="4" t="str">
        <f>IF(OR(D211="",E211=""),"",D211*E211)</f>
        <v/>
      </c>
      <c r="G211" s="4" t="str">
        <f>IF(D211="","",D211*Parametri!$B$6)</f>
        <v/>
      </c>
      <c r="H211" s="4" t="str">
        <f>IF(F211="","",F211-G211)</f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21"/>
      <c r="F212" s="4" t="str">
        <f>IF(OR(D212="",E212=""),"",D212*E212)</f>
        <v/>
      </c>
      <c r="G212" s="4" t="str">
        <f>IF(D212="","",D212*Parametri!$B$6)</f>
        <v/>
      </c>
      <c r="H212" s="4" t="str">
        <f>IF(F212="","",F212-G212)</f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21"/>
      <c r="F213" s="4" t="str">
        <f>IF(OR(D213="",E213=""),"",D213*E213)</f>
        <v/>
      </c>
      <c r="G213" s="4" t="str">
        <f>IF(D213="","",D213*Parametri!$B$6)</f>
        <v/>
      </c>
      <c r="H213" s="4" t="str">
        <f>IF(F213="","",F213-G213)</f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21"/>
      <c r="F214" s="4" t="str">
        <f>IF(OR(D214="",E214=""),"",D214*E214)</f>
        <v/>
      </c>
      <c r="G214" s="4" t="str">
        <f>IF(D214="","",D214*Parametri!$B$6)</f>
        <v/>
      </c>
      <c r="H214" s="4" t="str">
        <f>IF(F214="","",F214-G214)</f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21"/>
      <c r="F215" s="4" t="str">
        <f>IF(OR(D215="",E215=""),"",D215*E215)</f>
        <v/>
      </c>
      <c r="G215" s="4" t="str">
        <f>IF(D215="","",D215*Parametri!$B$6)</f>
        <v/>
      </c>
      <c r="H215" s="4" t="str">
        <f>IF(F215="","",F215-G215)</f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21"/>
      <c r="F216" s="4" t="str">
        <f>IF(OR(D216="",E216=""),"",D216*E216)</f>
        <v/>
      </c>
      <c r="G216" s="4" t="str">
        <f>IF(D216="","",D216*Parametri!$B$6)</f>
        <v/>
      </c>
      <c r="H216" s="4" t="str">
        <f>IF(F216="","",F216-G216)</f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21"/>
      <c r="F217" s="4" t="str">
        <f>IF(OR(D217="",E217=""),"",D217*E217)</f>
        <v/>
      </c>
      <c r="G217" s="4" t="str">
        <f>IF(D217="","",D217*Parametri!$B$6)</f>
        <v/>
      </c>
      <c r="H217" s="4" t="str">
        <f>IF(F217="","",F217-G217)</f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21"/>
      <c r="F218" s="4" t="str">
        <f>IF(OR(D218="",E218=""),"",D218*E218)</f>
        <v/>
      </c>
      <c r="G218" s="4" t="str">
        <f>IF(D218="","",D218*Parametri!$B$6)</f>
        <v/>
      </c>
      <c r="H218" s="4" t="str">
        <f>IF(F218="","",F218-G218)</f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21"/>
      <c r="F219" s="4" t="str">
        <f>IF(OR(D219="",E219=""),"",D219*E219)</f>
        <v/>
      </c>
      <c r="G219" s="4" t="str">
        <f>IF(D219="","",D219*Parametri!$B$6)</f>
        <v/>
      </c>
      <c r="H219" s="4" t="str">
        <f>IF(F219="","",F219-G219)</f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21"/>
      <c r="F220" s="4" t="str">
        <f>IF(OR(D220="",E220=""),"",D220*E220)</f>
        <v/>
      </c>
      <c r="G220" s="4" t="str">
        <f>IF(D220="","",D220*Parametri!$B$6)</f>
        <v/>
      </c>
      <c r="H220" s="4" t="str">
        <f>IF(F220="","",F220-G220)</f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21"/>
      <c r="F221" s="4" t="str">
        <f>IF(OR(D221="",E221=""),"",D221*E221)</f>
        <v/>
      </c>
      <c r="G221" s="4" t="str">
        <f>IF(D221="","",D221*Parametri!$B$6)</f>
        <v/>
      </c>
      <c r="H221" s="4" t="str">
        <f>IF(F221="","",F221-G221)</f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21"/>
      <c r="F222" s="4" t="str">
        <f>IF(OR(D222="",E222=""),"",D222*E222)</f>
        <v/>
      </c>
      <c r="G222" s="4" t="str">
        <f>IF(D222="","",D222*Parametri!$B$6)</f>
        <v/>
      </c>
      <c r="H222" s="4" t="str">
        <f>IF(F222="","",F222-G222)</f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21"/>
      <c r="F223" s="4" t="str">
        <f>IF(OR(D223="",E223=""),"",D223*E223)</f>
        <v/>
      </c>
      <c r="G223" s="4" t="str">
        <f>IF(D223="","",D223*Parametri!$B$6)</f>
        <v/>
      </c>
      <c r="H223" s="4" t="str">
        <f>IF(F223="","",F223-G223)</f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21"/>
      <c r="F224" s="4" t="str">
        <f>IF(OR(D224="",E224=""),"",D224*E224)</f>
        <v/>
      </c>
      <c r="G224" s="4" t="str">
        <f>IF(D224="","",D224*Parametri!$B$6)</f>
        <v/>
      </c>
      <c r="H224" s="4" t="str">
        <f>IF(F224="","",F224-G224)</f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21"/>
      <c r="F225" s="4" t="str">
        <f>IF(OR(D225="",E225=""),"",D225*E225)</f>
        <v/>
      </c>
      <c r="G225" s="4" t="str">
        <f>IF(D225="","",D225*Parametri!$B$6)</f>
        <v/>
      </c>
      <c r="H225" s="4" t="str">
        <f>IF(F225="","",F225-G225)</f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21"/>
      <c r="F226" s="4" t="str">
        <f>IF(OR(D226="",E226=""),"",D226*E226)</f>
        <v/>
      </c>
      <c r="G226" s="4" t="str">
        <f>IF(D226="","",D226*Parametri!$B$6)</f>
        <v/>
      </c>
      <c r="H226" s="4" t="str">
        <f>IF(F226="","",F226-G226)</f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21"/>
      <c r="F227" s="4" t="str">
        <f>IF(OR(D227="",E227=""),"",D227*E227)</f>
        <v/>
      </c>
      <c r="G227" s="4" t="str">
        <f>IF(D227="","",D227*Parametri!$B$6)</f>
        <v/>
      </c>
      <c r="H227" s="4" t="str">
        <f>IF(F227="","",F227-G227)</f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21"/>
      <c r="F228" s="4" t="str">
        <f>IF(OR(D228="",E228=""),"",D228*E228)</f>
        <v/>
      </c>
      <c r="G228" s="4" t="str">
        <f>IF(D228="","",D228*Parametri!$B$6)</f>
        <v/>
      </c>
      <c r="H228" s="4" t="str">
        <f>IF(F228="","",F228-G228)</f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21"/>
      <c r="F229" s="4" t="str">
        <f>IF(OR(D229="",E229=""),"",D229*E229)</f>
        <v/>
      </c>
      <c r="G229" s="4" t="str">
        <f>IF(D229="","",D229*Parametri!$B$6)</f>
        <v/>
      </c>
      <c r="H229" s="4" t="str">
        <f>IF(F229="","",F229-G229)</f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21"/>
      <c r="F230" s="4" t="str">
        <f>IF(OR(D230="",E230=""),"",D230*E230)</f>
        <v/>
      </c>
      <c r="G230" s="4" t="str">
        <f>IF(D230="","",D230*Parametri!$B$6)</f>
        <v/>
      </c>
      <c r="H230" s="4" t="str">
        <f>IF(F230="","",F230-G230)</f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21"/>
      <c r="F231" s="4" t="str">
        <f>IF(OR(D231="",E231=""),"",D231*E231)</f>
        <v/>
      </c>
      <c r="G231" s="4" t="str">
        <f>IF(D231="","",D231*Parametri!$B$6)</f>
        <v/>
      </c>
      <c r="H231" s="4" t="str">
        <f>IF(F231="","",F231-G231)</f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21"/>
      <c r="F232" s="4" t="str">
        <f>IF(OR(D232="",E232=""),"",D232*E232)</f>
        <v/>
      </c>
      <c r="G232" s="4" t="str">
        <f>IF(D232="","",D232*Parametri!$B$6)</f>
        <v/>
      </c>
      <c r="H232" s="4" t="str">
        <f>IF(F232="","",F232-G232)</f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21"/>
      <c r="F233" s="4" t="str">
        <f>IF(OR(D233="",E233=""),"",D233*E233)</f>
        <v/>
      </c>
      <c r="G233" s="4" t="str">
        <f>IF(D233="","",D233*Parametri!$B$6)</f>
        <v/>
      </c>
      <c r="H233" s="4" t="str">
        <f>IF(F233="","",F233-G233)</f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21"/>
      <c r="F234" s="4" t="str">
        <f>IF(OR(D234="",E234=""),"",D234*E234)</f>
        <v/>
      </c>
      <c r="G234" s="4" t="str">
        <f>IF(D234="","",D234*Parametri!$B$6)</f>
        <v/>
      </c>
      <c r="H234" s="4" t="str">
        <f>IF(F234="","",F234-G234)</f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21"/>
      <c r="F235" s="4" t="str">
        <f>IF(OR(D235="",E235=""),"",D235*E235)</f>
        <v/>
      </c>
      <c r="G235" s="4" t="str">
        <f>IF(D235="","",D235*Parametri!$B$6)</f>
        <v/>
      </c>
      <c r="H235" s="4" t="str">
        <f>IF(F235="","",F235-G235)</f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21"/>
      <c r="F236" s="4" t="str">
        <f>IF(OR(D236="",E236=""),"",D236*E236)</f>
        <v/>
      </c>
      <c r="G236" s="4" t="str">
        <f>IF(D236="","",D236*Parametri!$B$6)</f>
        <v/>
      </c>
      <c r="H236" s="4" t="str">
        <f>IF(F236="","",F236-G236)</f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21"/>
      <c r="F237" s="4" t="str">
        <f>IF(OR(D237="",E237=""),"",D237*E237)</f>
        <v/>
      </c>
      <c r="G237" s="4" t="str">
        <f>IF(D237="","",D237*Parametri!$B$6)</f>
        <v/>
      </c>
      <c r="H237" s="4" t="str">
        <f>IF(F237="","",F237-G237)</f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21"/>
      <c r="F238" s="4" t="str">
        <f>IF(OR(D238="",E238=""),"",D238*E238)</f>
        <v/>
      </c>
      <c r="G238" s="4" t="str">
        <f>IF(D238="","",D238*Parametri!$B$6)</f>
        <v/>
      </c>
      <c r="H238" s="4" t="str">
        <f>IF(F238="","",F238-G238)</f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21"/>
      <c r="F239" s="4" t="str">
        <f>IF(OR(D239="",E239=""),"",D239*E239)</f>
        <v/>
      </c>
      <c r="G239" s="4" t="str">
        <f>IF(D239="","",D239*Parametri!$B$6)</f>
        <v/>
      </c>
      <c r="H239" s="4" t="str">
        <f>IF(F239="","",F239-G239)</f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21"/>
      <c r="F240" s="4" t="str">
        <f>IF(OR(D240="",E240=""),"",D240*E240)</f>
        <v/>
      </c>
      <c r="G240" s="4" t="str">
        <f>IF(D240="","",D240*Parametri!$B$6)</f>
        <v/>
      </c>
      <c r="H240" s="4" t="str">
        <f>IF(F240="","",F240-G240)</f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21"/>
      <c r="F241" s="4" t="str">
        <f>IF(OR(D241="",E241=""),"",D241*E241)</f>
        <v/>
      </c>
      <c r="G241" s="4" t="str">
        <f>IF(D241="","",D241*Parametri!$B$6)</f>
        <v/>
      </c>
      <c r="H241" s="4" t="str">
        <f>IF(F241="","",F241-G241)</f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21"/>
      <c r="F242" s="4" t="str">
        <f>IF(OR(D242="",E242=""),"",D242*E242)</f>
        <v/>
      </c>
      <c r="G242" s="4" t="str">
        <f>IF(D242="","",D242*Parametri!$B$6)</f>
        <v/>
      </c>
      <c r="H242" s="4" t="str">
        <f>IF(F242="","",F242-G242)</f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21"/>
      <c r="F243" s="4" t="str">
        <f>IF(OR(D243="",E243=""),"",D243*E243)</f>
        <v/>
      </c>
      <c r="G243" s="4" t="str">
        <f>IF(D243="","",D243*Parametri!$B$6)</f>
        <v/>
      </c>
      <c r="H243" s="4" t="str">
        <f>IF(F243="","",F243-G243)</f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21"/>
      <c r="F244" s="4" t="str">
        <f>IF(OR(D244="",E244=""),"",D244*E244)</f>
        <v/>
      </c>
      <c r="G244" s="4" t="str">
        <f>IF(D244="","",D244*Parametri!$B$6)</f>
        <v/>
      </c>
      <c r="H244" s="4" t="str">
        <f>IF(F244="","",F244-G244)</f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21"/>
      <c r="F245" s="4" t="str">
        <f>IF(OR(D245="",E245=""),"",D245*E245)</f>
        <v/>
      </c>
      <c r="G245" s="4" t="str">
        <f>IF(D245="","",D245*Parametri!$B$6)</f>
        <v/>
      </c>
      <c r="H245" s="4" t="str">
        <f>IF(F245="","",F245-G245)</f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21"/>
      <c r="F246" s="4" t="str">
        <f>IF(OR(D246="",E246=""),"",D246*E246)</f>
        <v/>
      </c>
      <c r="G246" s="4" t="str">
        <f>IF(D246="","",D246*Parametri!$B$6)</f>
        <v/>
      </c>
      <c r="H246" s="4" t="str">
        <f>IF(F246="","",F246-G246)</f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21"/>
      <c r="F247" s="4" t="str">
        <f>IF(OR(D247="",E247=""),"",D247*E247)</f>
        <v/>
      </c>
      <c r="G247" s="4" t="str">
        <f>IF(D247="","",D247*Parametri!$B$6)</f>
        <v/>
      </c>
      <c r="H247" s="4" t="str">
        <f>IF(F247="","",F247-G247)</f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21"/>
      <c r="F248" s="4" t="str">
        <f>IF(OR(D248="",E248=""),"",D248*E248)</f>
        <v/>
      </c>
      <c r="G248" s="4" t="str">
        <f>IF(D248="","",D248*Parametri!$B$6)</f>
        <v/>
      </c>
      <c r="H248" s="4" t="str">
        <f>IF(F248="","",F248-G248)</f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21"/>
      <c r="F249" s="4" t="str">
        <f>IF(OR(D249="",E249=""),"",D249*E249)</f>
        <v/>
      </c>
      <c r="G249" s="4" t="str">
        <f>IF(D249="","",D249*Parametri!$B$6)</f>
        <v/>
      </c>
      <c r="H249" s="4" t="str">
        <f>IF(F249="","",F249-G249)</f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21"/>
      <c r="F250" s="4" t="str">
        <f>IF(OR(D250="",E250=""),"",D250*E250)</f>
        <v/>
      </c>
      <c r="G250" s="4" t="str">
        <f>IF(D250="","",D250*Parametri!$B$6)</f>
        <v/>
      </c>
      <c r="H250" s="4" t="str">
        <f>IF(F250="","",F250-G250)</f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21"/>
      <c r="F251" s="4" t="str">
        <f>IF(OR(D251="",E251=""),"",D251*E251)</f>
        <v/>
      </c>
      <c r="G251" s="4" t="str">
        <f>IF(D251="","",D251*Parametri!$B$6)</f>
        <v/>
      </c>
      <c r="H251" s="4" t="str">
        <f>IF(F251="","",F251-G251)</f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21"/>
      <c r="F252" s="4" t="str">
        <f>IF(OR(D252="",E252=""),"",D252*E252)</f>
        <v/>
      </c>
      <c r="G252" s="4" t="str">
        <f>IF(D252="","",D252*Parametri!$B$6)</f>
        <v/>
      </c>
      <c r="H252" s="4" t="str">
        <f>IF(F252="","",F252-G252)</f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21"/>
      <c r="F253" s="4" t="str">
        <f>IF(OR(D253="",E253=""),"",D253*E253)</f>
        <v/>
      </c>
      <c r="G253" s="4" t="str">
        <f>IF(D253="","",D253*Parametri!$B$6)</f>
        <v/>
      </c>
      <c r="H253" s="4" t="str">
        <f>IF(F253="","",F253-G253)</f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21"/>
      <c r="F254" s="4" t="str">
        <f>IF(OR(D254="",E254=""),"",D254*E254)</f>
        <v/>
      </c>
      <c r="G254" s="4" t="str">
        <f>IF(D254="","",D254*Parametri!$B$6)</f>
        <v/>
      </c>
      <c r="H254" s="4" t="str">
        <f>IF(F254="","",F254-G254)</f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21"/>
      <c r="F255" s="4" t="str">
        <f>IF(OR(D255="",E255=""),"",D255*E255)</f>
        <v/>
      </c>
      <c r="G255" s="4" t="str">
        <f>IF(D255="","",D255*Parametri!$B$6)</f>
        <v/>
      </c>
      <c r="H255" s="4" t="str">
        <f>IF(F255="","",F255-G255)</f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21"/>
      <c r="F256" s="4" t="str">
        <f>IF(OR(D256="",E256=""),"",D256*E256)</f>
        <v/>
      </c>
      <c r="G256" s="4" t="str">
        <f>IF(D256="","",D256*Parametri!$B$6)</f>
        <v/>
      </c>
      <c r="H256" s="4" t="str">
        <f>IF(F256="","",F256-G256)</f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21"/>
      <c r="F257" s="4" t="str">
        <f>IF(OR(D257="",E257=""),"",D257*E257)</f>
        <v/>
      </c>
      <c r="G257" s="4" t="str">
        <f>IF(D257="","",D257*Parametri!$B$6)</f>
        <v/>
      </c>
      <c r="H257" s="4" t="str">
        <f>IF(F257="","",F257-G257)</f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21"/>
      <c r="F258" s="4" t="str">
        <f>IF(OR(D258="",E258=""),"",D258*E258)</f>
        <v/>
      </c>
      <c r="G258" s="4" t="str">
        <f>IF(D258="","",D258*Parametri!$B$6)</f>
        <v/>
      </c>
      <c r="H258" s="4" t="str">
        <f>IF(F258="","",F258-G258)</f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21"/>
      <c r="F259" s="4" t="str">
        <f>IF(OR(D259="",E259=""),"",D259*E259)</f>
        <v/>
      </c>
      <c r="G259" s="4" t="str">
        <f>IF(D259="","",D259*Parametri!$B$6)</f>
        <v/>
      </c>
      <c r="H259" s="4" t="str">
        <f>IF(F259="","",F259-G259)</f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21"/>
      <c r="F260" s="4" t="str">
        <f>IF(OR(D260="",E260=""),"",D260*E260)</f>
        <v/>
      </c>
      <c r="G260" s="4" t="str">
        <f>IF(D260="","",D260*Parametri!$B$6)</f>
        <v/>
      </c>
      <c r="H260" s="4" t="str">
        <f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21"/>
      <c r="F261" s="4" t="str">
        <f>IF(OR(D261="",E261=""),"",D261*E261)</f>
        <v/>
      </c>
      <c r="G261" s="4" t="str">
        <f>IF(D261="","",D261*Parametri!$B$6)</f>
        <v/>
      </c>
      <c r="H261" s="4" t="str">
        <f>IF(F261="","",F261-G261)</f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21"/>
      <c r="F262" s="4" t="str">
        <f>IF(OR(D262="",E262=""),"",D262*E262)</f>
        <v/>
      </c>
      <c r="G262" s="4" t="str">
        <f>IF(D262="","",D262*Parametri!$B$6)</f>
        <v/>
      </c>
      <c r="H262" s="4" t="str">
        <f>IF(F262="","",F262-G262)</f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21"/>
      <c r="F263" s="4" t="str">
        <f>IF(OR(D263="",E263=""),"",D263*E263)</f>
        <v/>
      </c>
      <c r="G263" s="4" t="str">
        <f>IF(D263="","",D263*Parametri!$B$6)</f>
        <v/>
      </c>
      <c r="H263" s="4" t="str">
        <f>IF(F263="","",F263-G263)</f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21"/>
      <c r="F264" s="4" t="str">
        <f>IF(OR(D264="",E264=""),"",D264*E264)</f>
        <v/>
      </c>
      <c r="G264" s="4" t="str">
        <f>IF(D264="","",D264*Parametri!$B$6)</f>
        <v/>
      </c>
      <c r="H264" s="4" t="str">
        <f>IF(F264="","",F264-G264)</f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21"/>
      <c r="F265" s="4" t="str">
        <f>IF(OR(D265="",E265=""),"",D265*E265)</f>
        <v/>
      </c>
      <c r="G265" s="4" t="str">
        <f>IF(D265="","",D265*Parametri!$B$6)</f>
        <v/>
      </c>
      <c r="H265" s="4" t="str">
        <f>IF(F265="","",F265-G265)</f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21"/>
      <c r="F266" s="4" t="str">
        <f>IF(OR(D266="",E266=""),"",D266*E266)</f>
        <v/>
      </c>
      <c r="G266" s="4" t="str">
        <f>IF(D266="","",D266*Parametri!$B$6)</f>
        <v/>
      </c>
      <c r="H266" s="4" t="str">
        <f>IF(F266="","",F266-G266)</f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21"/>
      <c r="F267" s="4" t="str">
        <f>IF(OR(D267="",E267=""),"",D267*E267)</f>
        <v/>
      </c>
      <c r="G267" s="4" t="str">
        <f>IF(D267="","",D267*Parametri!$B$6)</f>
        <v/>
      </c>
      <c r="H267" s="4" t="str">
        <f>IF(F267="","",F267-G267)</f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21"/>
      <c r="F268" s="4" t="str">
        <f>IF(OR(D268="",E268=""),"",D268*E268)</f>
        <v/>
      </c>
      <c r="G268" s="4" t="str">
        <f>IF(D268="","",D268*Parametri!$B$6)</f>
        <v/>
      </c>
      <c r="H268" s="4" t="str">
        <f>IF(F268="","",F268-G268)</f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21"/>
      <c r="F269" s="4" t="str">
        <f>IF(OR(D269="",E269=""),"",D269*E269)</f>
        <v/>
      </c>
      <c r="G269" s="4" t="str">
        <f>IF(D269="","",D269*Parametri!$B$6)</f>
        <v/>
      </c>
      <c r="H269" s="4" t="str">
        <f>IF(F269="","",F269-G269)</f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21"/>
      <c r="F270" s="4" t="str">
        <f>IF(OR(D270="",E270=""),"",D270*E270)</f>
        <v/>
      </c>
      <c r="G270" s="4" t="str">
        <f>IF(D270="","",D270*Parametri!$B$6)</f>
        <v/>
      </c>
      <c r="H270" s="4" t="str">
        <f>IF(F270="","",F270-G270)</f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21"/>
      <c r="F271" s="4" t="str">
        <f>IF(OR(D271="",E271=""),"",D271*E271)</f>
        <v/>
      </c>
      <c r="G271" s="4" t="str">
        <f>IF(D271="","",D271*Parametri!$B$6)</f>
        <v/>
      </c>
      <c r="H271" s="4" t="str">
        <f>IF(F271="","",F271-G271)</f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21"/>
      <c r="F272" s="4" t="str">
        <f>IF(OR(D272="",E272=""),"",D272*E272)</f>
        <v/>
      </c>
      <c r="G272" s="4" t="str">
        <f>IF(D272="","",D272*Parametri!$B$6)</f>
        <v/>
      </c>
      <c r="H272" s="4" t="str">
        <f>IF(F272="","",F272-G272)</f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21"/>
      <c r="F273" s="4" t="str">
        <f>IF(OR(D273="",E273=""),"",D273*E273)</f>
        <v/>
      </c>
      <c r="G273" s="4" t="str">
        <f>IF(D273="","",D273*Parametri!$B$6)</f>
        <v/>
      </c>
      <c r="H273" s="4" t="str">
        <f>IF(F273="","",F273-G273)</f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21"/>
      <c r="F274" s="4" t="str">
        <f>IF(OR(D274="",E274=""),"",D274*E274)</f>
        <v/>
      </c>
      <c r="G274" s="4" t="str">
        <f>IF(D274="","",D274*Parametri!$B$6)</f>
        <v/>
      </c>
      <c r="H274" s="4" t="str">
        <f>IF(F274="","",F274-G274)</f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21"/>
      <c r="F275" s="4" t="str">
        <f>IF(OR(D275="",E275=""),"",D275*E275)</f>
        <v/>
      </c>
      <c r="G275" s="4" t="str">
        <f>IF(D275="","",D275*Parametri!$B$6)</f>
        <v/>
      </c>
      <c r="H275" s="4" t="str">
        <f>IF(F275="","",F275-G275)</f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21"/>
      <c r="F276" s="4" t="str">
        <f>IF(OR(D276="",E276=""),"",D276*E276)</f>
        <v/>
      </c>
      <c r="G276" s="4" t="str">
        <f>IF(D276="","",D276*Parametri!$B$6)</f>
        <v/>
      </c>
      <c r="H276" s="4" t="str">
        <f>IF(F276="","",F276-G276)</f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21"/>
      <c r="F277" s="4" t="str">
        <f>IF(OR(D277="",E277=""),"",D277*E277)</f>
        <v/>
      </c>
      <c r="G277" s="4" t="str">
        <f>IF(D277="","",D277*Parametri!$B$6)</f>
        <v/>
      </c>
      <c r="H277" s="4" t="str">
        <f>IF(F277="","",F277-G277)</f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21"/>
      <c r="F278" s="4" t="str">
        <f>IF(OR(D278="",E278=""),"",D278*E278)</f>
        <v/>
      </c>
      <c r="G278" s="4" t="str">
        <f>IF(D278="","",D278*Parametri!$B$6)</f>
        <v/>
      </c>
      <c r="H278" s="4" t="str">
        <f>IF(F278="","",F278-G278)</f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21"/>
      <c r="F279" s="4" t="str">
        <f>IF(OR(D279="",E279=""),"",D279*E279)</f>
        <v/>
      </c>
      <c r="G279" s="4" t="str">
        <f>IF(D279="","",D279*Parametri!$B$6)</f>
        <v/>
      </c>
      <c r="H279" s="4" t="str">
        <f>IF(F279="","",F279-G279)</f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21"/>
      <c r="F280" s="4" t="str">
        <f>IF(OR(D280="",E280=""),"",D280*E280)</f>
        <v/>
      </c>
      <c r="G280" s="4" t="str">
        <f>IF(D280="","",D280*Parametri!$B$6)</f>
        <v/>
      </c>
      <c r="H280" s="4" t="str">
        <f>IF(F280="","",F280-G280)</f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21"/>
      <c r="F281" s="4" t="str">
        <f>IF(OR(D281="",E281=""),"",D281*E281)</f>
        <v/>
      </c>
      <c r="G281" s="4" t="str">
        <f>IF(D281="","",D281*Parametri!$B$6)</f>
        <v/>
      </c>
      <c r="H281" s="4" t="str">
        <f>IF(F281="","",F281-G281)</f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21"/>
      <c r="F282" s="4" t="str">
        <f>IF(OR(D282="",E282=""),"",D282*E282)</f>
        <v/>
      </c>
      <c r="G282" s="4" t="str">
        <f>IF(D282="","",D282*Parametri!$B$6)</f>
        <v/>
      </c>
      <c r="H282" s="4" t="str">
        <f>IF(F282="","",F282-G282)</f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21"/>
      <c r="F283" s="4" t="str">
        <f>IF(OR(D283="",E283=""),"",D283*E283)</f>
        <v/>
      </c>
      <c r="G283" s="4" t="str">
        <f>IF(D283="","",D283*Parametri!$B$6)</f>
        <v/>
      </c>
      <c r="H283" s="4" t="str">
        <f>IF(F283="","",F283-G283)</f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21"/>
      <c r="F284" s="4" t="str">
        <f>IF(OR(D284="",E284=""),"",D284*E284)</f>
        <v/>
      </c>
      <c r="G284" s="4" t="str">
        <f>IF(D284="","",D284*Parametri!$B$6)</f>
        <v/>
      </c>
      <c r="H284" s="4" t="str">
        <f>IF(F284="","",F284-G284)</f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21"/>
      <c r="F285" s="4" t="str">
        <f>IF(OR(D285="",E285=""),"",D285*E285)</f>
        <v/>
      </c>
      <c r="G285" s="4" t="str">
        <f>IF(D285="","",D285*Parametri!$B$6)</f>
        <v/>
      </c>
      <c r="H285" s="4" t="str">
        <f>IF(F285="","",F285-G285)</f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21"/>
      <c r="F286" s="4" t="str">
        <f>IF(OR(D286="",E286=""),"",D286*E286)</f>
        <v/>
      </c>
      <c r="G286" s="4" t="str">
        <f>IF(D286="","",D286*Parametri!$B$6)</f>
        <v/>
      </c>
      <c r="H286" s="4" t="str">
        <f>IF(F286="","",F286-G286)</f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21"/>
      <c r="F287" s="4" t="str">
        <f>IF(OR(D287="",E287=""),"",D287*E287)</f>
        <v/>
      </c>
      <c r="G287" s="4" t="str">
        <f>IF(D287="","",D287*Parametri!$B$6)</f>
        <v/>
      </c>
      <c r="H287" s="4" t="str">
        <f>IF(F287="","",F287-G287)</f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21"/>
      <c r="F288" s="4" t="str">
        <f>IF(OR(D288="",E288=""),"",D288*E288)</f>
        <v/>
      </c>
      <c r="G288" s="4" t="str">
        <f>IF(D288="","",D288*Parametri!$B$6)</f>
        <v/>
      </c>
      <c r="H288" s="4" t="str">
        <f>IF(F288="","",F288-G288)</f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21"/>
      <c r="F289" s="4" t="str">
        <f>IF(OR(D289="",E289=""),"",D289*E289)</f>
        <v/>
      </c>
      <c r="G289" s="4" t="str">
        <f>IF(D289="","",D289*Parametri!$B$6)</f>
        <v/>
      </c>
      <c r="H289" s="4" t="str">
        <f>IF(F289="","",F289-G289)</f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21"/>
      <c r="F290" s="4" t="str">
        <f>IF(OR(D290="",E290=""),"",D290*E290)</f>
        <v/>
      </c>
      <c r="G290" s="4" t="str">
        <f>IF(D290="","",D290*Parametri!$B$6)</f>
        <v/>
      </c>
      <c r="H290" s="4" t="str">
        <f>IF(F290="","",F290-G290)</f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21"/>
      <c r="F291" s="4" t="str">
        <f>IF(OR(D291="",E291=""),"",D291*E291)</f>
        <v/>
      </c>
      <c r="G291" s="4" t="str">
        <f>IF(D291="","",D291*Parametri!$B$6)</f>
        <v/>
      </c>
      <c r="H291" s="4" t="str">
        <f>IF(F291="","",F291-G291)</f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21"/>
      <c r="F292" s="4" t="str">
        <f>IF(OR(D292="",E292=""),"",D292*E292)</f>
        <v/>
      </c>
      <c r="G292" s="4" t="str">
        <f>IF(D292="","",D292*Parametri!$B$6)</f>
        <v/>
      </c>
      <c r="H292" s="4" t="str">
        <f>IF(F292="","",F292-G292)</f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21"/>
      <c r="F293" s="4" t="str">
        <f>IF(OR(D293="",E293=""),"",D293*E293)</f>
        <v/>
      </c>
      <c r="G293" s="4" t="str">
        <f>IF(D293="","",D293*Parametri!$B$6)</f>
        <v/>
      </c>
      <c r="H293" s="4" t="str">
        <f>IF(F293="","",F293-G293)</f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21"/>
      <c r="F294" s="4" t="str">
        <f>IF(OR(D294="",E294=""),"",D294*E294)</f>
        <v/>
      </c>
      <c r="G294" s="4" t="str">
        <f>IF(D294="","",D294*Parametri!$B$6)</f>
        <v/>
      </c>
      <c r="H294" s="4" t="str">
        <f>IF(F294="","",F294-G294)</f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21"/>
      <c r="F295" s="4" t="str">
        <f>IF(OR(D295="",E295=""),"",D295*E295)</f>
        <v/>
      </c>
      <c r="G295" s="4" t="str">
        <f>IF(D295="","",D295*Parametri!$B$6)</f>
        <v/>
      </c>
      <c r="H295" s="4" t="str">
        <f>IF(F295="","",F295-G295)</f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21"/>
      <c r="F296" s="4" t="str">
        <f>IF(OR(D296="",E296=""),"",D296*E296)</f>
        <v/>
      </c>
      <c r="G296" s="4" t="str">
        <f>IF(D296="","",D296*Parametri!$B$6)</f>
        <v/>
      </c>
      <c r="H296" s="4" t="str">
        <f>IF(F296="","",F296-G296)</f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21"/>
      <c r="F297" s="4" t="str">
        <f>IF(OR(D297="",E297=""),"",D297*E297)</f>
        <v/>
      </c>
      <c r="G297" s="4" t="str">
        <f>IF(D297="","",D297*Parametri!$B$6)</f>
        <v/>
      </c>
      <c r="H297" s="4" t="str">
        <f>IF(F297="","",F297-G297)</f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21"/>
      <c r="F298" s="4" t="str">
        <f>IF(OR(D298="",E298=""),"",D298*E298)</f>
        <v/>
      </c>
      <c r="G298" s="4" t="str">
        <f>IF(D298="","",D298*Parametri!$B$6)</f>
        <v/>
      </c>
      <c r="H298" s="4" t="str">
        <f>IF(F298="","",F298-G298)</f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21"/>
      <c r="F299" s="4" t="str">
        <f>IF(OR(D299="",E299=""),"",D299*E299)</f>
        <v/>
      </c>
      <c r="G299" s="4" t="str">
        <f>IF(D299="","",D299*Parametri!$B$6)</f>
        <v/>
      </c>
      <c r="H299" s="4" t="str">
        <f>IF(F299="","",F299-G299)</f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21"/>
      <c r="F300" s="4" t="str">
        <f>IF(OR(D300="",E300=""),"",D300*E300)</f>
        <v/>
      </c>
      <c r="G300" s="4" t="str">
        <f>IF(D300="","",D300*Parametri!$B$6)</f>
        <v/>
      </c>
      <c r="H300" s="4" t="str">
        <f>IF(F300="","",F300-G300)</f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21"/>
      <c r="F301" s="4" t="str">
        <f>IF(OR(D301="",E301=""),"",D301*E301)</f>
        <v/>
      </c>
      <c r="G301" s="4" t="str">
        <f>IF(D301="","",D301*Parametri!$B$6)</f>
        <v/>
      </c>
      <c r="H301" s="4" t="str">
        <f>IF(F301="","",F301-G301)</f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21"/>
      <c r="F302" s="4" t="str">
        <f>IF(OR(D302="",E302=""),"",D302*E302)</f>
        <v/>
      </c>
      <c r="G302" s="4" t="str">
        <f>IF(D302="","",D302*Parametri!$B$6)</f>
        <v/>
      </c>
      <c r="H302" s="4" t="str">
        <f>IF(F302="","",F302-G302)</f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21"/>
      <c r="F303" s="4" t="str">
        <f>IF(OR(D303="",E303=""),"",D303*E303)</f>
        <v/>
      </c>
      <c r="G303" s="4" t="str">
        <f>IF(D303="","",D303*Parametri!$B$6)</f>
        <v/>
      </c>
      <c r="H303" s="4" t="str">
        <f>IF(F303="","",F303-G303)</f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4" priority="1">
      <formula>I4="Sì"</formula>
    </cfRule>
    <cfRule type="expression" dxfId="13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15" sqref="C15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6" t="s">
        <v>102</v>
      </c>
      <c r="B1" s="12"/>
      <c r="C1" s="12"/>
      <c r="D1" s="12"/>
      <c r="E1" s="12"/>
      <c r="F1" s="12"/>
      <c r="G1" s="12"/>
      <c r="H1" s="12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12" priority="1">
      <formula>G4="Sì"</formula>
    </cfRule>
    <cfRule type="expression" dxfId="11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topLeftCell="A7" zoomScale="167" workbookViewId="0">
      <selection activeCell="A21" sqref="A21:C25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6" t="s">
        <v>105</v>
      </c>
      <c r="B1" s="12"/>
      <c r="C1" s="12"/>
      <c r="D1" s="12"/>
      <c r="E1" s="12"/>
      <c r="F1" s="12"/>
    </row>
    <row r="3" spans="1:11" ht="32" customHeight="1">
      <c r="A3" s="11" t="s">
        <v>106</v>
      </c>
      <c r="B3" s="12"/>
      <c r="C3" s="12"/>
      <c r="D3" s="12"/>
      <c r="E3" s="12"/>
      <c r="F3" s="12"/>
      <c r="H3" s="11" t="s">
        <v>107</v>
      </c>
      <c r="I3" s="12"/>
      <c r="J3" s="12"/>
      <c r="K3" s="12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275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11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16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176</v>
      </c>
      <c r="B12" s="4">
        <f>SUMIFS(Vendite_Patch!F4:F303,Vendite_Patch!I4:I303,"Sì")</f>
        <v>36</v>
      </c>
      <c r="C12" s="3" t="s">
        <v>31</v>
      </c>
      <c r="D12" s="3"/>
      <c r="E12" s="3"/>
      <c r="F12" s="3"/>
    </row>
    <row r="13" spans="1:11">
      <c r="A13" s="6" t="s">
        <v>177</v>
      </c>
      <c r="B13" s="4">
        <f>SUMIFS(Vendite_Patch!H4:H303,Vendite_Patch!I4:I303,"Sì")</f>
        <v>27.900000000000002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184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-64</v>
      </c>
      <c r="C16" s="3" t="s">
        <v>31</v>
      </c>
      <c r="D16" s="3"/>
      <c r="E16" s="3"/>
      <c r="F16" s="3"/>
    </row>
    <row r="17" spans="1:6">
      <c r="A17" s="6" t="s">
        <v>178</v>
      </c>
      <c r="B17" s="4">
        <f>SUMIFS(Vendite_Patch!$F$4:$F$303,Vendite_Patch!$I$4:$I$303,"Sì",Vendite_Patch!$E$4:$E$303,Parametri!$B$7)</f>
        <v>0</v>
      </c>
      <c r="C17" s="3" t="s">
        <v>31</v>
      </c>
    </row>
    <row r="18" spans="1:6">
      <c r="A18" s="6" t="s">
        <v>179</v>
      </c>
      <c r="B18" s="4">
        <f>SUMIFS(Vendite_Patch!$F$4:$F$303,Vendite_Patch!$I$4:$I$303,"Sì",Vendite_Patch!$E$4:$E$303,Parametri!$B$8)</f>
        <v>36</v>
      </c>
      <c r="C18" s="3" t="s">
        <v>31</v>
      </c>
    </row>
    <row r="19" spans="1:6" ht="29.25" customHeight="1">
      <c r="A19" s="11" t="s">
        <v>121</v>
      </c>
      <c r="B19" s="12"/>
      <c r="C19" s="12"/>
      <c r="D19" s="12"/>
      <c r="E19" s="12"/>
      <c r="F19" s="12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180</v>
      </c>
      <c r="B24" s="5">
        <f>IF(Parametri!B8&gt;0,ROUNDUP(B10/Parametri!B8,0),0)</f>
        <v>45</v>
      </c>
      <c r="C24" s="3" t="s">
        <v>181</v>
      </c>
    </row>
    <row r="25" spans="1:6">
      <c r="A25" s="3" t="s">
        <v>174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10" priority="5">
      <formula>B14&lt;0</formula>
    </cfRule>
  </conditionalFormatting>
  <conditionalFormatting sqref="B16">
    <cfRule type="expression" dxfId="9" priority="6">
      <formula>B16&lt;0</formula>
    </cfRule>
    <cfRule type="expression" dxfId="8" priority="7">
      <formula>B16&gt;=0</formula>
    </cfRule>
  </conditionalFormatting>
  <conditionalFormatting sqref="B20">
    <cfRule type="expression" dxfId="7" priority="3">
      <formula>LEFT(B20,2)="Sì"</formula>
    </cfRule>
    <cfRule type="expression" dxfId="6" priority="4">
      <formula>B20="No"</formula>
    </cfRule>
  </conditionalFormatting>
  <conditionalFormatting sqref="B18">
    <cfRule type="expression" dxfId="1" priority="1">
      <formula>B18&lt;0</formula>
    </cfRule>
    <cfRule type="expression" dxfId="0" priority="2">
      <formula>B18&gt;=0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6" t="s">
        <v>124</v>
      </c>
      <c r="B1" s="12"/>
      <c r="C1" s="12"/>
      <c r="D1" s="12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20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9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9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2026-06-17T08:59:06Z</dcterms:modified>
</cp:coreProperties>
</file>