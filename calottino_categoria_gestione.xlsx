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E80E10AD-95CA-4E4F-8E69-E34043508D92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1" l="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D4" i="10"/>
  <c r="F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F31" i="6"/>
  <c r="H31" i="6" s="1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<sst xmlns="http://schemas.openxmlformats.org/spreadsheetml/2006/main" count="1520" uniqueCount="226">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</sst>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278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59">
  <tableColumns count="9">
    <tableColumn id="1" xr3:uid="{00000000-0010-0000-0000-000001000000}" name="ID" dataDxfId="58"/>
    <tableColumn id="2" xr3:uid="{00000000-0010-0000-0000-000002000000}" name="Nome / Cognome" dataDxfId="57"/>
    <tableColumn id="3" xr3:uid="{00000000-0010-0000-0000-000003000000}" name="Quota dovuta" dataDxfId="56"/>
    <tableColumn id="4" xr3:uid="{00000000-0010-0000-0000-000004000000}" name="Quota pagata" dataDxfId="55"/>
    <tableColumn id="5" xr3:uid="{00000000-0010-0000-0000-000005000000}" name="Saldo" dataDxfId="54">
      <calculatedColumnFormula>D4-C4</calculatedColumnFormula>
    </tableColumn>
    <tableColumn id="6" xr3:uid="{00000000-0010-0000-0000-000006000000}" name="Stato" dataDxfId="53">
      <calculatedColumnFormula>IF(D4&gt;=C4,"Pagata",IF(D4&gt;0,"Parziale","Da pagare"))</calculatedColumnFormula>
    </tableColumn>
    <tableColumn id="7" xr3:uid="{00000000-0010-0000-0000-000007000000}" name="Data pagamento" dataDxfId="52"/>
    <tableColumn id="8" xr3:uid="{00000000-0010-0000-0000-000008000000}" name="Metodo" dataDxfId="51"/>
    <tableColumn id="9" xr3:uid="{00000000-0010-0000-0000-000009000000}" name="Note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49">
  <tableColumns count="9">
    <tableColumn id="1" xr3:uid="{00000000-0010-0000-0100-000001000000}" name="Data" dataDxfId="48"/>
    <tableColumn id="2" xr3:uid="{00000000-0010-0000-0100-000002000000}" name="Fornitore" dataDxfId="47"/>
    <tableColumn id="3" xr3:uid="{00000000-0010-0000-0100-000003000000}" name="Lotto / Descrizione" dataDxfId="46"/>
    <tableColumn id="4" xr3:uid="{00000000-0010-0000-0100-000004000000}" name="Quantità" dataDxfId="45"/>
    <tableColumn id="5" xr3:uid="{00000000-0010-0000-0100-000005000000}" name="Costo unitario" dataDxfId="44"/>
    <tableColumn id="6" xr3:uid="{00000000-0010-0000-0100-000006000000}" name="Costo totale" dataDxfId="43"/>
    <tableColumn id="7" xr3:uid="{00000000-0010-0000-0100-000007000000}" name="Pagato da" dataDxfId="42"/>
    <tableColumn id="8" xr3:uid="{00000000-0010-0000-0100-000008000000}" name="Stato pagamento" dataDxfId="41"/>
    <tableColumn id="9" xr3:uid="{00000000-0010-0000-0100-000009000000}" name="Not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39">
  <tableColumns count="11">
    <tableColumn id="1" xr3:uid="{00000000-0010-0000-0200-000001000000}" name="Data" dataDxfId="38"/>
    <tableColumn id="2" xr3:uid="{00000000-0010-0000-0200-000002000000}" name="Acquirente" dataDxfId="37"/>
    <tableColumn id="3" xr3:uid="{00000000-0010-0000-0200-000003000000}" name="Descrizione" dataDxfId="36"/>
    <tableColumn id="4" xr3:uid="{00000000-0010-0000-0200-000004000000}" name="Quantità" dataDxfId="35"/>
    <tableColumn id="5" xr3:uid="{00000000-0010-0000-0200-000005000000}" name="Prezzo unitario" dataDxfId="34"/>
    <tableColumn id="6" xr3:uid="{00000000-0010-0000-0200-000006000000}" name="Ricavo" dataDxfId="33">
      <calculatedColumnFormula>IF(OR(D4="",E4=""),"",D4*E4)</calculatedColumnFormula>
    </tableColumn>
    <tableColumn id="7" xr3:uid="{00000000-0010-0000-0200-000007000000}" name="Costo stimato" dataDxfId="32">
      <calculatedColumnFormula>IF(D4="","",D4*Parametri!$B$6)</calculatedColumnFormula>
    </tableColumn>
    <tableColumn id="8" xr3:uid="{00000000-0010-0000-0200-000008000000}" name="Utile lordo" dataDxfId="31">
      <calculatedColumnFormula>IF(F4="","",F4-G4)</calculatedColumnFormula>
    </tableColumn>
    <tableColumn id="9" xr3:uid="{00000000-0010-0000-0200-000009000000}" name="Incassato?" dataDxfId="30"/>
    <tableColumn id="10" xr3:uid="{00000000-0010-0000-0200-00000A000000}" name="Metodo" dataDxfId="29"/>
    <tableColumn id="11" xr3:uid="{00000000-0010-0000-0200-00000B000000}" name="Note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9" zoomScale="150" workbookViewId="0">
      <selection sqref="A1:L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43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4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0" t="s">
        <v>2</v>
      </c>
      <c r="B4" s="39"/>
      <c r="C4" s="39"/>
      <c r="D4" s="40" t="s">
        <v>3</v>
      </c>
      <c r="E4" s="39"/>
      <c r="F4" s="39"/>
      <c r="G4" s="40" t="s">
        <v>4</v>
      </c>
      <c r="H4" s="39"/>
      <c r="I4" s="39"/>
      <c r="J4" s="40" t="s">
        <v>5</v>
      </c>
      <c r="K4" s="39"/>
      <c r="L4" s="39"/>
    </row>
    <row r="5" spans="1:12" ht="34" customHeight="1">
      <c r="A5" s="41">
        <f>Magazzino_Cassa!B16</f>
        <v>33</v>
      </c>
      <c r="B5" s="39"/>
      <c r="C5" s="39"/>
      <c r="D5" s="41">
        <f>Magazzino_Cassa!B6</f>
        <v>375</v>
      </c>
      <c r="E5" s="39"/>
      <c r="F5" s="39"/>
      <c r="G5" s="45">
        <f>Magazzino_Cassa!B14</f>
        <v>152</v>
      </c>
      <c r="H5" s="39"/>
      <c r="I5" s="39"/>
      <c r="J5" s="41">
        <f>Magazzino_Cassa!B12</f>
        <v>278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0" t="s">
        <v>6</v>
      </c>
      <c r="B8" s="39"/>
      <c r="C8" s="39"/>
      <c r="D8" s="40" t="s">
        <v>7</v>
      </c>
      <c r="E8" s="39"/>
      <c r="F8" s="39"/>
      <c r="G8" s="40" t="s">
        <v>8</v>
      </c>
      <c r="H8" s="39"/>
      <c r="I8" s="39"/>
      <c r="J8" s="40" t="s">
        <v>9</v>
      </c>
      <c r="K8" s="39"/>
      <c r="L8" s="39"/>
    </row>
    <row r="9" spans="1:12" ht="34" customHeight="1">
      <c r="A9" s="41">
        <f>Magazzino_Cassa!B15</f>
        <v>80</v>
      </c>
      <c r="B9" s="39"/>
      <c r="C9" s="39"/>
      <c r="D9" s="41">
        <f>Magazzino_Cassa!B13</f>
        <v>224.00000000000006</v>
      </c>
      <c r="E9" s="39"/>
      <c r="F9" s="39"/>
      <c r="G9" s="42" t="str">
        <f>Magazzino_Cassa!B8&amp;"/"&amp;Parametri!B4</f>
        <v>15/15</v>
      </c>
      <c r="H9" s="39"/>
      <c r="I9" s="39"/>
      <c r="J9" s="41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38" t="s">
        <v>10</v>
      </c>
      <c r="B13" s="39"/>
      <c r="C13" s="39"/>
      <c r="D13" s="39"/>
      <c r="E13" s="39"/>
      <c r="F13" s="39"/>
      <c r="G13" s="38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278</v>
      </c>
      <c r="C16" s="3" t="s">
        <v>18</v>
      </c>
      <c r="D16" s="3" t="s">
        <v>23</v>
      </c>
      <c r="G16" s="3" t="s">
        <v>24</v>
      </c>
      <c r="H16" s="5">
        <f>Magazzino_Cassa!B11</f>
        <v>48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152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33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170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108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38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43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43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sqref="A1:I1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43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43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opLeftCell="A4" zoomScale="150" workbookViewId="0">
      <selection activeCell="A29" sqref="A29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43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1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1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1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1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1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1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1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1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1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1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1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1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1">
      <c r="A29" s="14" t="s">
        <v>163</v>
      </c>
      <c r="B29" s="3" t="s">
        <v>133</v>
      </c>
      <c r="C29" s="3" t="s">
        <v>146</v>
      </c>
      <c r="D29" s="5">
        <v>5</v>
      </c>
      <c r="E29" s="13">
        <v>15</v>
      </c>
      <c r="F29" s="4">
        <f t="shared" si="1"/>
        <v>75</v>
      </c>
      <c r="G29" s="4">
        <f>IF(D29="","",D29*Parametri!$B$6)</f>
        <v>13.5</v>
      </c>
      <c r="H29" s="4">
        <f t="shared" si="0"/>
        <v>61.5</v>
      </c>
      <c r="I29" s="3" t="s">
        <v>147</v>
      </c>
      <c r="J29" s="3" t="s">
        <v>102</v>
      </c>
      <c r="K29" s="3" t="s">
        <v>151</v>
      </c>
    </row>
    <row r="30" spans="1:11">
      <c r="A30" s="14"/>
      <c r="B30" s="3"/>
      <c r="C30" s="3" t="s">
        <v>146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147</v>
      </c>
      <c r="J30" s="3"/>
      <c r="K30" s="3"/>
    </row>
    <row r="31" spans="1:11">
      <c r="A31" s="14"/>
      <c r="B31" s="3"/>
      <c r="C31" s="3" t="s">
        <v>146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147</v>
      </c>
      <c r="J31" s="3"/>
      <c r="K31" s="3"/>
    </row>
    <row r="32" spans="1:11">
      <c r="A32" s="14"/>
      <c r="B32" s="3"/>
      <c r="C32" s="3" t="s">
        <v>146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147</v>
      </c>
      <c r="J32" s="3"/>
      <c r="K32" s="3"/>
    </row>
    <row r="33" spans="1:11">
      <c r="A33" s="14"/>
      <c r="B33" s="3"/>
      <c r="C33" s="3" t="s">
        <v>146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147</v>
      </c>
      <c r="J33" s="3"/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43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43" t="s">
        <v>170</v>
      </c>
      <c r="B1" s="39"/>
      <c r="C1" s="39"/>
      <c r="D1" s="39"/>
      <c r="E1" s="39"/>
      <c r="F1" s="39"/>
    </row>
    <row r="3" spans="1:11" ht="42.75" customHeight="1">
      <c r="A3" s="38" t="s">
        <v>171</v>
      </c>
      <c r="B3" s="39"/>
      <c r="C3" s="39"/>
      <c r="D3" s="39"/>
      <c r="E3" s="39"/>
      <c r="F3" s="39"/>
      <c r="H3" s="38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48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278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224.00000000000006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152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33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170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108</v>
      </c>
      <c r="C18" s="3" t="s">
        <v>36</v>
      </c>
    </row>
    <row r="19" spans="1:6" ht="39" customHeight="1">
      <c r="A19" s="38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43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50" workbookViewId="0">
      <selection activeCell="C6" sqref="C6"/>
    </sheetView>
  </sheetViews>
  <sheetFormatPr baseColWidth="10" defaultColWidth="8.83203125" defaultRowHeight="15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0</v>
      </c>
      <c r="E4" s="24"/>
      <c r="F4" s="24">
        <f t="shared" ref="F4:F35" si="0">IF(B4="","",MAX(C4-D4-E4,0))</f>
        <v>10</v>
      </c>
      <c r="G4" s="27">
        <f>IF(B4="","",SUMIFS(Vendite_Patch!$F$4:$F$303,Vendite_Patch!$L$4:$L$303,B4,Vendite_Patch!$I$4:$I$303,"Sì"))</f>
        <v>0</v>
      </c>
      <c r="H4" s="27"/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27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27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zoomScale="125" workbookViewId="0">
      <selection activeCell="B21" sqref="B21"/>
    </sheetView>
  </sheetViews>
  <sheetFormatPr baseColWidth="10" defaultColWidth="8.83203125" defaultRowHeight="15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2026-07-11T10:24:48Z</dcterms:modified>
</cp:coreProperties>
</file>