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60882843-AC4E-9244-9711-1DDC5CBC9C68}" xr6:coauthVersionLast="47" xr6:coauthVersionMax="47" xr10:uidLastSave="{00000000-0000-0000-0000-000000000000}"/>
  <bookViews>
    <workbookView xWindow="0" yWindow="680" windowWidth="34200" windowHeight="19900" activeTab="7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23" i="6"/>
  <c r="G24" i="6"/>
  <c r="G25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H7" i="6"/>
  <c r="H8" i="6"/>
  <c r="H9" i="6"/>
  <c r="H10" i="6"/>
  <c r="F11" i="6"/>
  <c r="F12" i="6"/>
  <c r="F13" i="6"/>
  <c r="F14" i="6"/>
  <c r="F15" i="6"/>
  <c r="F23" i="6"/>
  <c r="F24" i="6"/>
  <c r="F25" i="6"/>
  <c r="F27" i="6"/>
  <c r="F29" i="6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H29" i="6" l="1"/>
  <c r="H27" i="6"/>
  <c r="H28" i="6"/>
  <c r="H26" i="6"/>
  <c r="H25" i="6"/>
  <c r="H23" i="6"/>
  <c r="H24" i="6"/>
  <c r="B17" i="8"/>
  <c r="B20" i="1" s="1"/>
  <c r="H15" i="6"/>
  <c r="H14" i="6"/>
  <c r="F12" i="4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<sst xmlns="http://schemas.openxmlformats.org/spreadsheetml/2006/main" count="1376" uniqueCount="208">
  <si>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</si>
  <si>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</si>
  <si>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</si>
  <si>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</si>
  <si>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</si>
  <si>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</si>
  <si>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</si>
  <si>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</si>
  <si>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</si>
  <si>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</si>
  <si>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</si>
  <si>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</si>
  <si>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</si>
  <si>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</si>
  <si>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</si>
  <si>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</si>
  <si>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</si>
  <si>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</si>
  <si>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</si>
  <si>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</si>
  <si>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</si>
  <si>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</si>
  <si>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</si>
  <si>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</si>
  <si>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</si>
  <si>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</si>
  <si>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</si>
  <si>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</si>
  <si>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</si>
  <si>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</si>
  <si>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</si>
  <si>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</si>
  <si>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</si>
  <si>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</si>
  <si>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</si>
  <si>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</si>
  <si>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</si>
  <si>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</si>
  <si>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</si>
  <si>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</si>
  <si>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</si>
  <si>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</si>
  <si>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</si>
  <si>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</si>
  <si>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</si>
  <si>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</si>
  <si>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</si>
  <si>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</si>
  <si>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</si>
  <si>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</si>
  <si>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</si>
  <si>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</si>
  <si>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</si>
  <si>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</si>
  <si>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</si>
  <si>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</si>
  <si>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</si>
  <si>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</si>
  <si>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</si>
  <si>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</si>
  <si>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</si>
  <si>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</si>
  <si>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</si>
  <si>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</si>
  <si>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</si>
  <si>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</si>
  <si>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</si>
  <si>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</si>
  <si>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</si>
  <si>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</si>
  <si>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</si>
  <si>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</si>
  <si>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</si>
  <si>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</si>
  <si>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</si>
  <si>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</si>
  <si>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</si>
  <si>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</si>
  <si>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</si>
  <si>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</si>
  <si>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</si>
  <si>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</si>
  <si>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</si>
  <si>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</si>
  <si>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</si>
  <si>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</si>
  <si>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</si>
  <si>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</si>
  <si>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</si>
  <si>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</si>
  <si>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</si>
  <si>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</si>
  <si>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</si>
  <si>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</si>
  <si>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</si>
  <si>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</si>
  <si>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</si>
  <si>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</si>
  <si>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</si>
  <si>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</si>
  <si>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</si>
  <si>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</si>
  <si>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</si>
  <si>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</si>
  <si>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</si>
  <si>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</si>
  <si>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</si>
  <si>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</si>
  <si>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</si>
  <si>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</si>
  <si>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</si>
  <si>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</si>
  <si>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</si>
  <si>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</si>
  <si>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</si>
  <si>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</si>
  <si>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</si>
  <si>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</si>
  <si>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</si>
  <si>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</si>
  <si>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</si>
  <si>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</si>
  <si>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</si>
  <si>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</si>
  <si>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</si>
  <si>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</si>
  <si>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</si>
  <si>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</si>
  <si>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</si>
  <si>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</si>
  <si>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</si>
  <si>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</si>
  <si>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</si>
  <si>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</si>
  <si>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</si>
  <si>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</si>
  <si>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</si>
  <si>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</si>
  <si>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</si>
  <si>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</si>
  <si>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</si>
  <si>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</si>
  <si>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</si>
  <si>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</si>
  <si>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</si>
  <si>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</si>
  <si>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</si>
  <si>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</si>
  <si>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</si>
  <si>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</si>
  <si>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</si>
  <si>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</si>
  <si>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</si>
  <si>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</si>
  <si>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</si>
  <si>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</si>
  <si>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</si>
  <si>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</si>
  <si>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</si>
  <si>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</si>
  <si>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</si>
  <si>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</si>
  <si>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</si>
  <si>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</si>
  <si>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</si>
  <si>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</si>
  <si>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</si>
  <si>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</si>
  <si>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</si>
  <si>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</si>
  <si>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</si>
  <si>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</si>
  <si>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</si>
  <si>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</si>
  <si>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</si>
  <si>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</si>
  <si>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</si>
  <si>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</si>
  <si>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</si>
  <si>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</si>
  <si>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</si>
  <si>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</si>
  <si>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</si>
  <si>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</si>
  <si>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</si>
  <si>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</si>
  <si>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</si>
  <si>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</si>
  <si>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</si>
  <si>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</si>
  <si>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</si>
  <si>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</si>
  <si>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</si>
  <si>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</si>
  <si>
    <t>Marra</t>
  </si>
  <si>
    <t>22/06/2026</t>
  </si>
  <si>
    <t>Lombardo</t>
  </si>
  <si>
    <t>De Rosa</t>
  </si>
  <si>
    <t>23/06/2026</t>
  </si>
  <si>
    <t>26/06/2026</t>
  </si>
  <si>
    <t>30/06/2026</t>
  </si>
  <si>
    <t>Jimmy</t>
  </si>
  <si>
    <t>Caprara</t>
  </si>
  <si>
    <t>Dati a Mimmo</t>
  </si>
  <si>
    <t>Rivellino</t>
  </si>
  <si>
    <t>03/07/2026</t>
  </si>
  <si>
    <t>Radunista</t>
  </si>
  <si>
    <t>06/07/2026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</si>
</sst>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  <xf numFmtId="49" fontId="7" fillId="0" borderId="0" xfId="0" applyNumberFormat="1" applyFont="1" applyAlignment="1">
      <alignment vertical="top" wrapText="1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278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53" dataDxfId="52" totalsRowDxfId="51">
  <tableColumns count="9">
    <tableColumn id="1" xr3:uid="{00000000-0010-0000-0000-000001000000}" name="ID" dataDxfId="50"/>
    <tableColumn id="2" xr3:uid="{00000000-0010-0000-0000-000002000000}" name="Nome / Cognome" dataDxfId="49"/>
    <tableColumn id="3" xr3:uid="{00000000-0010-0000-0000-000003000000}" name="Quota dovuta" dataDxfId="48"/>
    <tableColumn id="4" xr3:uid="{00000000-0010-0000-0000-000004000000}" name="Quota pagata" dataDxfId="47"/>
    <tableColumn id="5" xr3:uid="{00000000-0010-0000-0000-000005000000}" name="Saldo" dataDxfId="46">
      <calculatedColumnFormula>D4-C4</calculatedColumnFormula>
    </tableColumn>
    <tableColumn id="6" xr3:uid="{00000000-0010-0000-0000-000006000000}" name="Stato" dataDxfId="45">
      <calculatedColumnFormula>IF(D4&gt;=C4,"Pagata",IF(D4&gt;0,"Parziale","Da pagare"))</calculatedColumnFormula>
    </tableColumn>
    <tableColumn id="7" xr3:uid="{00000000-0010-0000-0000-000007000000}" name="Data pagamento" dataDxfId="44"/>
    <tableColumn id="8" xr3:uid="{00000000-0010-0000-0000-000008000000}" name="Metodo" dataDxfId="43"/>
    <tableColumn id="9" xr3:uid="{00000000-0010-0000-0000-000009000000}" name="Note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41" dataDxfId="40" totalsRowDxfId="39">
  <tableColumns count="9">
    <tableColumn id="1" xr3:uid="{00000000-0010-0000-0100-000001000000}" name="Data" dataDxfId="38"/>
    <tableColumn id="2" xr3:uid="{00000000-0010-0000-0100-000002000000}" name="Fornitore" dataDxfId="37"/>
    <tableColumn id="3" xr3:uid="{00000000-0010-0000-0100-000003000000}" name="Lotto / Descrizione" dataDxfId="36"/>
    <tableColumn id="4" xr3:uid="{00000000-0010-0000-0100-000004000000}" name="Quantità" dataDxfId="35"/>
    <tableColumn id="5" xr3:uid="{00000000-0010-0000-0100-000005000000}" name="Costo unitario" dataDxfId="34"/>
    <tableColumn id="6" xr3:uid="{00000000-0010-0000-0100-000006000000}" name="Costo totale" dataDxfId="33"/>
    <tableColumn id="7" xr3:uid="{00000000-0010-0000-0100-000007000000}" name="Pagato da" dataDxfId="32"/>
    <tableColumn id="8" xr3:uid="{00000000-0010-0000-0100-000008000000}" name="Stato pagamento" dataDxfId="31"/>
    <tableColumn id="9" xr3:uid="{00000000-0010-0000-0100-000009000000}" name="Note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67" dataDxfId="66" totalsRowDxfId="65">
  <tableColumns count="11">
    <tableColumn id="1" xr3:uid="{00000000-0010-0000-0200-000001000000}" name="Data" dataDxfId="64"/>
    <tableColumn id="2" xr3:uid="{00000000-0010-0000-0200-000002000000}" name="Acquirente" dataDxfId="63"/>
    <tableColumn id="3" xr3:uid="{00000000-0010-0000-0200-000003000000}" name="Descrizione" dataDxfId="62"/>
    <tableColumn id="4" xr3:uid="{00000000-0010-0000-0200-000004000000}" name="Quantità" dataDxfId="61"/>
    <tableColumn id="5" xr3:uid="{00000000-0010-0000-0200-000005000000}" name="Prezzo unitario" dataDxfId="60"/>
    <tableColumn id="6" xr3:uid="{00000000-0010-0000-0200-000006000000}" name="Ricavo" dataDxfId="59">
      <calculatedColumnFormula>IF(OR(D4="",E4=""),"",D4*E4)</calculatedColumnFormula>
    </tableColumn>
    <tableColumn id="7" xr3:uid="{00000000-0010-0000-0200-000007000000}" name="Costo stimato" dataDxfId="58">
      <calculatedColumnFormula>IF(D4="","",D4*Parametri!$B$6)</calculatedColumnFormula>
    </tableColumn>
    <tableColumn id="8" xr3:uid="{00000000-0010-0000-0200-000008000000}" name="Utile lordo" dataDxfId="57">
      <calculatedColumnFormula>IF(F4="","",F4-G4)</calculatedColumnFormula>
    </tableColumn>
    <tableColumn id="9" xr3:uid="{00000000-0010-0000-0200-000009000000}" name="Incassato?" dataDxfId="56"/>
    <tableColumn id="10" xr3:uid="{00000000-0010-0000-0200-00000A000000}" name="Metodo" dataDxfId="55"/>
    <tableColumn id="11" xr3:uid="{00000000-0010-0000-0200-00000B000000}" name="Note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12" zoomScale="150" workbookViewId="0">
      <selection activeCell="H20" sqref="H20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16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7" t="s">
        <v>2</v>
      </c>
      <c r="B4" s="15"/>
      <c r="C4" s="15"/>
      <c r="D4" s="17" t="s">
        <v>3</v>
      </c>
      <c r="E4" s="15"/>
      <c r="F4" s="15"/>
      <c r="G4" s="17" t="s">
        <v>4</v>
      </c>
      <c r="H4" s="15"/>
      <c r="I4" s="15"/>
      <c r="J4" s="17" t="s">
        <v>174</v>
      </c>
      <c r="K4" s="15"/>
      <c r="L4" s="15"/>
    </row>
    <row r="5" spans="1:12" ht="25.5" customHeight="1">
      <c r="A5" s="18">
        <f>Magazzino_Cassa!B16</f>
        <v>33</v>
      </c>
      <c r="B5" s="15"/>
      <c r="C5" s="15"/>
      <c r="D5" s="18">
        <f>Magazzino_Cassa!B6</f>
        <v>375</v>
      </c>
      <c r="E5" s="15"/>
      <c r="F5" s="15"/>
      <c r="G5" s="19">
        <f>Magazzino_Cassa!B14</f>
        <v>152</v>
      </c>
      <c r="H5" s="15"/>
      <c r="I5" s="15"/>
      <c r="J5" s="18">
        <f>Magazzino_Cassa!B12</f>
        <v>278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7" t="s">
        <v>5</v>
      </c>
      <c r="B8" s="15"/>
      <c r="C8" s="15"/>
      <c r="D8" s="17" t="s">
        <v>6</v>
      </c>
      <c r="E8" s="15"/>
      <c r="F8" s="15"/>
      <c r="G8" s="17" t="s">
        <v>7</v>
      </c>
      <c r="H8" s="15"/>
      <c r="I8" s="15"/>
      <c r="J8" s="17" t="s">
        <v>168</v>
      </c>
      <c r="K8" s="15"/>
      <c r="L8" s="15"/>
    </row>
    <row r="9" spans="1:12" ht="25.5" customHeight="1">
      <c r="A9" s="18">
        <f>Magazzino_Cassa!B15</f>
        <v>80</v>
      </c>
      <c r="B9" s="15"/>
      <c r="C9" s="15"/>
      <c r="D9" s="18">
        <f>Magazzino_Cassa!B13</f>
        <v>224.00000000000006</v>
      </c>
      <c r="E9" s="15"/>
      <c r="F9" s="15"/>
      <c r="G9" s="21" t="str">
        <f>Magazzino_Cassa!B8&amp;"/"&amp;Parametri!B4</f>
        <v>15/15</v>
      </c>
      <c r="H9" s="15"/>
      <c r="I9" s="15"/>
      <c r="J9" s="18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20" t="s">
        <v>8</v>
      </c>
      <c r="B13" s="15"/>
      <c r="C13" s="15"/>
      <c r="D13" s="15"/>
      <c r="E13" s="15"/>
      <c r="F13" s="15"/>
      <c r="G13" s="20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375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174</v>
      </c>
      <c r="B16" s="4">
        <f>Magazzino_Cassa!B12</f>
        <v>278</v>
      </c>
      <c r="C16" s="3" t="s">
        <v>16</v>
      </c>
      <c r="D16" s="3" t="s">
        <v>180</v>
      </c>
      <c r="G16" s="3" t="s">
        <v>21</v>
      </c>
      <c r="H16" s="5">
        <f>Magazzino_Cassa!B11</f>
        <v>48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152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33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176</v>
      </c>
      <c r="B20" s="4">
        <f>Magazzino_Cassa!B17</f>
        <v>170</v>
      </c>
      <c r="C20" s="3" t="s">
        <v>16</v>
      </c>
      <c r="D20" s="3" t="s">
        <v>181</v>
      </c>
      <c r="G20" s="3" t="s">
        <v>183</v>
      </c>
      <c r="H20" s="5">
        <f>Magazzino_Cassa!B24</f>
        <v>45</v>
      </c>
      <c r="I20" s="3" t="s">
        <v>19</v>
      </c>
      <c r="J20" s="3" t="s">
        <v>184</v>
      </c>
    </row>
    <row r="21" spans="1:12" ht="30">
      <c r="A21" s="3" t="s">
        <v>177</v>
      </c>
      <c r="B21" s="4">
        <f>Magazzino_Cassa!B18</f>
        <v>108</v>
      </c>
      <c r="C21" s="3" t="s">
        <v>16</v>
      </c>
      <c r="D21" s="3" t="s">
        <v>182</v>
      </c>
      <c r="G21" s="3" t="s">
        <v>185</v>
      </c>
      <c r="H21" s="4">
        <f>Parametri!B12</f>
        <v>9.3000000000000007</v>
      </c>
      <c r="I21" s="3" t="s">
        <v>31</v>
      </c>
      <c r="J21" s="3" t="s">
        <v>186</v>
      </c>
    </row>
    <row r="23" spans="1:12" ht="20" customHeight="1">
      <c r="A23" s="20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4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187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188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4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172</v>
      </c>
      <c r="B12" s="4">
        <f>B8-B6</f>
        <v>9.3000000000000007</v>
      </c>
      <c r="C12" s="3" t="s">
        <v>31</v>
      </c>
      <c r="D12" s="3" t="s">
        <v>173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opLeftCell="B1" zoomScale="170" workbookViewId="0">
      <selection activeCell="J5" sqref="J5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4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189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190</v>
      </c>
      <c r="J4" s="4">
        <v>0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193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200</v>
      </c>
      <c r="H9" s="3" t="s">
        <v>134</v>
      </c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199</v>
      </c>
      <c r="H11" s="3" t="s">
        <v>134</v>
      </c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198</v>
      </c>
      <c r="H17" s="3" t="s">
        <v>134</v>
      </c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4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topLeftCell="B17" zoomScale="182" workbookViewId="0">
      <selection activeCell="F29" sqref="F29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4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 t="s">
        <v>203</v>
      </c>
    </row>
    <row r="12" spans="1:11">
      <c r="A12" s="8" t="s">
        <v>156</v>
      </c>
      <c r="B12" s="3" t="s">
        <v>194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203</v>
      </c>
    </row>
    <row r="13" spans="1:11">
      <c r="A13" s="8" t="s">
        <v>191</v>
      </c>
      <c r="B13" s="3" t="s">
        <v>192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203</v>
      </c>
    </row>
    <row r="14" spans="1:11">
      <c r="A14" s="8" t="s">
        <v>195</v>
      </c>
      <c r="B14" s="3" t="s">
        <v>196</v>
      </c>
      <c r="C14" s="3" t="s">
        <v>100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101</v>
      </c>
      <c r="J14" s="3" t="s">
        <v>128</v>
      </c>
      <c r="K14" s="3" t="s">
        <v>203</v>
      </c>
    </row>
    <row r="15" spans="1:11">
      <c r="A15" s="8" t="s">
        <v>195</v>
      </c>
      <c r="B15" s="3" t="s">
        <v>197</v>
      </c>
      <c r="C15" s="3" t="s">
        <v>100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101</v>
      </c>
      <c r="J15" s="3" t="s">
        <v>158</v>
      </c>
      <c r="K15" s="3" t="s">
        <v>203</v>
      </c>
    </row>
    <row r="16" spans="1:11">
      <c r="A16" s="8" t="s">
        <v>195</v>
      </c>
      <c r="B16" s="3" t="s">
        <v>196</v>
      </c>
      <c r="C16" s="3" t="s">
        <v>100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101</v>
      </c>
      <c r="J16" s="3"/>
      <c r="K16" s="3"/>
    </row>
    <row r="17" spans="1:11">
      <c r="A17" s="8" t="s">
        <v>195</v>
      </c>
      <c r="B17" s="3" t="s">
        <v>139</v>
      </c>
      <c r="C17" s="3" t="s">
        <v>100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101</v>
      </c>
      <c r="J17" s="3"/>
      <c r="K17" s="3"/>
    </row>
    <row r="18" spans="1:11">
      <c r="A18" s="8" t="s">
        <v>195</v>
      </c>
      <c r="B18" s="3" t="s">
        <v>137</v>
      </c>
      <c r="C18" s="3" t="s">
        <v>100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101</v>
      </c>
      <c r="J18" s="3"/>
      <c r="K18" s="3"/>
    </row>
    <row r="19" spans="1:11">
      <c r="A19" s="8" t="s">
        <v>195</v>
      </c>
      <c r="B19" s="3" t="s">
        <v>142</v>
      </c>
      <c r="C19" s="3" t="s">
        <v>100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101</v>
      </c>
      <c r="J19" s="3"/>
      <c r="K19" s="3"/>
    </row>
    <row r="20" spans="1:11">
      <c r="A20" s="8" t="s">
        <v>195</v>
      </c>
      <c r="B20" s="3" t="s">
        <v>148</v>
      </c>
      <c r="C20" s="3" t="s">
        <v>100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101</v>
      </c>
      <c r="J20" s="3"/>
      <c r="K20" s="3"/>
    </row>
    <row r="21" spans="1:11">
      <c r="A21" s="8" t="s">
        <v>195</v>
      </c>
      <c r="B21" s="3" t="s">
        <v>149</v>
      </c>
      <c r="C21" s="3" t="s">
        <v>100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101</v>
      </c>
      <c r="J21" s="3"/>
      <c r="K21" s="3"/>
    </row>
    <row r="22" spans="1:11">
      <c r="A22" s="8" t="s">
        <v>195</v>
      </c>
      <c r="B22" s="3" t="s">
        <v>145</v>
      </c>
      <c r="C22" s="3" t="s">
        <v>100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101</v>
      </c>
      <c r="J22" s="3"/>
      <c r="K22" s="3"/>
    </row>
    <row r="23" spans="1:11">
      <c r="A23" s="8" t="s">
        <v>200</v>
      </c>
      <c r="B23" s="3" t="s">
        <v>204</v>
      </c>
      <c r="C23" s="3" t="s">
        <v>100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101</v>
      </c>
      <c r="J23" s="3" t="s">
        <v>134</v>
      </c>
      <c r="K23" s="3" t="s">
        <v>203</v>
      </c>
    </row>
    <row r="24" spans="1:11">
      <c r="A24" s="8" t="s">
        <v>200</v>
      </c>
      <c r="B24" s="3" t="s">
        <v>201</v>
      </c>
      <c r="C24" s="3" t="s">
        <v>100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101</v>
      </c>
      <c r="J24" s="3" t="s">
        <v>128</v>
      </c>
      <c r="K24" s="3" t="s">
        <v>203</v>
      </c>
    </row>
    <row r="25" spans="1:11">
      <c r="A25" s="8" t="s">
        <v>200</v>
      </c>
      <c r="B25" s="3" t="s">
        <v>202</v>
      </c>
      <c r="C25" s="3" t="s">
        <v>100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101</v>
      </c>
      <c r="J25" s="3" t="s">
        <v>128</v>
      </c>
      <c r="K25" s="3" t="s">
        <v>203</v>
      </c>
    </row>
    <row r="26" spans="1:11">
      <c r="A26" s="8" t="s">
        <v>200</v>
      </c>
      <c r="B26" s="3" t="s">
        <v>140</v>
      </c>
      <c r="C26" s="3" t="s">
        <v>100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101</v>
      </c>
      <c r="J26" s="3"/>
      <c r="K26" s="3"/>
    </row>
    <row r="27" spans="1:11">
      <c r="A27" s="22" t="s">
        <v>205</v>
      </c>
      <c r="B27" s="3" t="s">
        <v>206</v>
      </c>
      <c r="C27" s="3" t="s">
        <v>100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101</v>
      </c>
      <c r="J27" s="3" t="s">
        <v>128</v>
      </c>
      <c r="K27" s="3" t="s">
        <v>203</v>
      </c>
    </row>
    <row r="28" spans="1:11">
      <c r="A28" s="22" t="s">
        <v>207</v>
      </c>
      <c r="B28" s="3" t="s">
        <v>155</v>
      </c>
      <c r="C28" s="3" t="s">
        <v>100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101</v>
      </c>
      <c r="J28" s="3" t="s">
        <v>128</v>
      </c>
      <c r="K28" s="3" t="s">
        <v>203</v>
      </c>
    </row>
    <row r="29" spans="1:11">
      <c r="A29" s="22" t="s">
        <v>207</v>
      </c>
      <c r="B29" s="3" t="s">
        <v>155</v>
      </c>
      <c r="C29" s="3" t="s">
        <v>100</v>
      </c>
      <c r="D29" s="5">
        <v>5</v>
      </c>
      <c r="E29" s="13">
        <v>15</v>
      </c>
      <c r="F29" s="4">
        <f t="shared" si="1"/>
        <v>75</v>
      </c>
      <c r="G29" s="4">
        <f>IF(D29="","",D29*Parametri!$B$6)</f>
        <v>13.5</v>
      </c>
      <c r="H29" s="4">
        <f t="shared" si="0"/>
        <v>61.5</v>
      </c>
      <c r="I29" s="3" t="s">
        <v>101</v>
      </c>
      <c r="J29" s="3" t="s">
        <v>128</v>
      </c>
      <c r="K29" s="3" t="s">
        <v>203</v>
      </c>
    </row>
    <row r="30" spans="1:11">
      <c r="A30" s="22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22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22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22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22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22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22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22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22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22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22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22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22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22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22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22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22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22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22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22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22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22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22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22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22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22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22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22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22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22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22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22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22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22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22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22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22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22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22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22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22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22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22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22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22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22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22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22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22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22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22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22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22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22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22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22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22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22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22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22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22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22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22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22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22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22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22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22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22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22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22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22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22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22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22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22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22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22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22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22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22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22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22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22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22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22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22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22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22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22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22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22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22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22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22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22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22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22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22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22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22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22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22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22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22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22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22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22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22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22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22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22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22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22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22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22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22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22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22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22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22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22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22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22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22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22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22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22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22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22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22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22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22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22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22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22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22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22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22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22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22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22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22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22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22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22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22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22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22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22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22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22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22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22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22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22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22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22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22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22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22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22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22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22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22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22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22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22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22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4" sqref="C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4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abSelected="1" zoomScale="167" workbookViewId="0">
      <selection activeCell="D23" sqref="D23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4" t="s">
        <v>105</v>
      </c>
      <c r="B1" s="15"/>
      <c r="C1" s="15"/>
      <c r="D1" s="15"/>
      <c r="E1" s="15"/>
      <c r="F1" s="15"/>
    </row>
    <row r="3" spans="1:11" ht="32" customHeight="1">
      <c r="A3" s="20" t="s">
        <v>106</v>
      </c>
      <c r="B3" s="15"/>
      <c r="C3" s="15"/>
      <c r="D3" s="15"/>
      <c r="E3" s="15"/>
      <c r="F3" s="15"/>
      <c r="H3" s="20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15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48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174</v>
      </c>
      <c r="B12" s="4">
        <f>SUMIFS(Vendite_Patch!F4:F303,Vendite_Patch!I4:I303,"Sì")</f>
        <v>278</v>
      </c>
      <c r="C12" s="3" t="s">
        <v>31</v>
      </c>
      <c r="D12" s="3"/>
      <c r="E12" s="3"/>
      <c r="F12" s="3"/>
    </row>
    <row r="13" spans="1:11">
      <c r="A13" s="6" t="s">
        <v>175</v>
      </c>
      <c r="B13" s="4">
        <f>SUMIFS(Vendite_Patch!H4:H303,Vendite_Patch!I4:I303,"Sì")</f>
        <v>224.00000000000006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152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33</v>
      </c>
      <c r="C16" s="3" t="s">
        <v>31</v>
      </c>
      <c r="D16" s="3"/>
      <c r="E16" s="3"/>
      <c r="F16" s="3"/>
    </row>
    <row r="17" spans="1:6">
      <c r="A17" s="6" t="s">
        <v>176</v>
      </c>
      <c r="B17" s="4">
        <f>SUMIFS(Vendite_Patch!$F$4:$F$303,Vendite_Patch!$I$4:$I$303,"Sì",Vendite_Patch!$E$4:$E$303,Parametri!$B$7)</f>
        <v>170</v>
      </c>
      <c r="C17" s="3" t="s">
        <v>31</v>
      </c>
    </row>
    <row r="18" spans="1:6">
      <c r="A18" s="6" t="s">
        <v>177</v>
      </c>
      <c r="B18" s="4">
        <f>SUMIFS(Vendite_Patch!$F$4:$F$303,Vendite_Patch!$I$4:$I$303,"Sì",Vendite_Patch!$E$4:$E$303,Parametri!$B$8)</f>
        <v>108</v>
      </c>
      <c r="C18" s="3" t="s">
        <v>31</v>
      </c>
    </row>
    <row r="19" spans="1:6" ht="29.25" customHeight="1">
      <c r="A19" s="20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178</v>
      </c>
      <c r="B24" s="5">
        <f>IF(Parametri!B8&gt;0,ROUNDUP(B10/Parametri!B8,0),0)</f>
        <v>45</v>
      </c>
      <c r="C24" s="3" t="s">
        <v>179</v>
      </c>
    </row>
    <row r="25" spans="1:6">
      <c r="A25" s="3" t="s">
        <v>172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4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2026-07-06T19:26:33Z</dcterms:modified>
</cp:coreProperties>
</file>