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/>
  <mc:AlternateContent xmlns:mc="http://schemas.openxmlformats.org/markup-compatibility/2006">
    <mc:Choice Requires="x15">
      <x15ac:absPath xmlns:x15ac="http://schemas.microsoft.com/office/spreadsheetml/2010/11/ac" url="/Users/angelo.losito/Desktop/Codex cartella Lavoro/Calottino Avionici/"/>
    </mc:Choice>
  </mc:AlternateContent>
  <xr:revisionPtr revIDLastSave="0" documentId="13_ncr:1_{D9811235-3AF7-1246-A4AB-564E2A46461C}" xr6:coauthVersionLast="47" xr6:coauthVersionMax="47" xr10:uidLastSave="{00000000-0000-0000-0000-000000000000}"/>
  <bookViews>
    <workbookView xWindow="0" yWindow="680" windowWidth="34200" windowHeight="19900" activeTab="5" xr2:uid="{00000000-000D-0000-FFFF-FFFF00000000}"/>
  </bookViews>
  <sheets>
    <sheet name="Dashboard" sheetId="1" r:id="rId1"/>
    <sheet name="Istruzioni" sheetId="2" r:id="rId2"/>
    <sheet name="Parametri" sheetId="3" r:id="rId3"/>
    <sheet name="Persone_Quote" sheetId="4" r:id="rId4"/>
    <sheet name="Acquisti_Patch" sheetId="5" r:id="rId5"/>
    <sheet name="Vendite_Patch" sheetId="6" r:id="rId6"/>
    <sheet name="Spese_Categoria" sheetId="7" r:id="rId7"/>
    <sheet name="Magazzino_Cassa" sheetId="8" r:id="rId8"/>
    <sheet name="Liste" sheetId="9" r:id="rId9"/>
    <sheet name="Affidamenti_Patch" sheetId="10" r:id="rId10"/>
    <sheet name="Venditori_Affidatari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0" l="1"/>
  <c r="F5" i="10" s="1"/>
  <c r="D4" i="10"/>
  <c r="F4" i="10" s="1"/>
  <c r="B18" i="11"/>
  <c r="B17" i="11"/>
  <c r="B16" i="11"/>
  <c r="B15" i="11"/>
  <c r="B14" i="11"/>
  <c r="B13" i="11"/>
  <c r="B12" i="11"/>
  <c r="B11" i="11"/>
  <c r="B10" i="11"/>
  <c r="B9" i="11"/>
  <c r="B8" i="11"/>
  <c r="B7" i="11"/>
  <c r="B6" i="11"/>
  <c r="B5" i="11"/>
  <c r="B4" i="11"/>
  <c r="I203" i="10"/>
  <c r="G203" i="10"/>
  <c r="F203" i="10"/>
  <c r="D203" i="10"/>
  <c r="I202" i="10"/>
  <c r="G202" i="10"/>
  <c r="F202" i="10"/>
  <c r="D202" i="10"/>
  <c r="I201" i="10"/>
  <c r="G201" i="10"/>
  <c r="F201" i="10"/>
  <c r="D201" i="10"/>
  <c r="I200" i="10"/>
  <c r="G200" i="10"/>
  <c r="F200" i="10"/>
  <c r="D200" i="10"/>
  <c r="I199" i="10"/>
  <c r="G199" i="10"/>
  <c r="F199" i="10"/>
  <c r="D199" i="10"/>
  <c r="I198" i="10"/>
  <c r="G198" i="10"/>
  <c r="F198" i="10"/>
  <c r="D198" i="10"/>
  <c r="I197" i="10"/>
  <c r="G197" i="10"/>
  <c r="F197" i="10"/>
  <c r="D197" i="10"/>
  <c r="I196" i="10"/>
  <c r="G196" i="10"/>
  <c r="F196" i="10"/>
  <c r="D196" i="10"/>
  <c r="I195" i="10"/>
  <c r="G195" i="10"/>
  <c r="F195" i="10"/>
  <c r="D195" i="10"/>
  <c r="I194" i="10"/>
  <c r="G194" i="10"/>
  <c r="F194" i="10"/>
  <c r="D194" i="10"/>
  <c r="I193" i="10"/>
  <c r="G193" i="10"/>
  <c r="F193" i="10"/>
  <c r="D193" i="10"/>
  <c r="I192" i="10"/>
  <c r="G192" i="10"/>
  <c r="F192" i="10"/>
  <c r="D192" i="10"/>
  <c r="I191" i="10"/>
  <c r="G191" i="10"/>
  <c r="F191" i="10"/>
  <c r="D191" i="10"/>
  <c r="I190" i="10"/>
  <c r="G190" i="10"/>
  <c r="F190" i="10"/>
  <c r="D190" i="10"/>
  <c r="I189" i="10"/>
  <c r="G189" i="10"/>
  <c r="F189" i="10"/>
  <c r="D189" i="10"/>
  <c r="I188" i="10"/>
  <c r="G188" i="10"/>
  <c r="F188" i="10"/>
  <c r="D188" i="10"/>
  <c r="I187" i="10"/>
  <c r="G187" i="10"/>
  <c r="F187" i="10"/>
  <c r="D187" i="10"/>
  <c r="I186" i="10"/>
  <c r="G186" i="10"/>
  <c r="F186" i="10"/>
  <c r="D186" i="10"/>
  <c r="I185" i="10"/>
  <c r="G185" i="10"/>
  <c r="F185" i="10"/>
  <c r="D185" i="10"/>
  <c r="I184" i="10"/>
  <c r="G184" i="10"/>
  <c r="F184" i="10"/>
  <c r="D184" i="10"/>
  <c r="I183" i="10"/>
  <c r="G183" i="10"/>
  <c r="F183" i="10"/>
  <c r="D183" i="10"/>
  <c r="I182" i="10"/>
  <c r="G182" i="10"/>
  <c r="F182" i="10"/>
  <c r="D182" i="10"/>
  <c r="I181" i="10"/>
  <c r="G181" i="10"/>
  <c r="F181" i="10"/>
  <c r="D181" i="10"/>
  <c r="I180" i="10"/>
  <c r="G180" i="10"/>
  <c r="F180" i="10"/>
  <c r="D180" i="10"/>
  <c r="I179" i="10"/>
  <c r="G179" i="10"/>
  <c r="F179" i="10"/>
  <c r="D179" i="10"/>
  <c r="I178" i="10"/>
  <c r="G178" i="10"/>
  <c r="F178" i="10"/>
  <c r="D178" i="10"/>
  <c r="I177" i="10"/>
  <c r="G177" i="10"/>
  <c r="F177" i="10"/>
  <c r="D177" i="10"/>
  <c r="I176" i="10"/>
  <c r="G176" i="10"/>
  <c r="F176" i="10"/>
  <c r="D176" i="10"/>
  <c r="I175" i="10"/>
  <c r="G175" i="10"/>
  <c r="F175" i="10"/>
  <c r="D175" i="10"/>
  <c r="I174" i="10"/>
  <c r="G174" i="10"/>
  <c r="F174" i="10"/>
  <c r="D174" i="10"/>
  <c r="I173" i="10"/>
  <c r="G173" i="10"/>
  <c r="F173" i="10"/>
  <c r="D173" i="10"/>
  <c r="I172" i="10"/>
  <c r="G172" i="10"/>
  <c r="F172" i="10"/>
  <c r="D172" i="10"/>
  <c r="I171" i="10"/>
  <c r="G171" i="10"/>
  <c r="F171" i="10"/>
  <c r="D171" i="10"/>
  <c r="I170" i="10"/>
  <c r="G170" i="10"/>
  <c r="F170" i="10"/>
  <c r="D170" i="10"/>
  <c r="I169" i="10"/>
  <c r="G169" i="10"/>
  <c r="F169" i="10"/>
  <c r="D169" i="10"/>
  <c r="I168" i="10"/>
  <c r="G168" i="10"/>
  <c r="F168" i="10"/>
  <c r="D168" i="10"/>
  <c r="I167" i="10"/>
  <c r="G167" i="10"/>
  <c r="F167" i="10"/>
  <c r="D167" i="10"/>
  <c r="I166" i="10"/>
  <c r="G166" i="10"/>
  <c r="F166" i="10"/>
  <c r="D166" i="10"/>
  <c r="I165" i="10"/>
  <c r="G165" i="10"/>
  <c r="F165" i="10"/>
  <c r="D165" i="10"/>
  <c r="I164" i="10"/>
  <c r="G164" i="10"/>
  <c r="F164" i="10"/>
  <c r="D164" i="10"/>
  <c r="I163" i="10"/>
  <c r="G163" i="10"/>
  <c r="F163" i="10"/>
  <c r="D163" i="10"/>
  <c r="I162" i="10"/>
  <c r="G162" i="10"/>
  <c r="F162" i="10"/>
  <c r="D162" i="10"/>
  <c r="I161" i="10"/>
  <c r="G161" i="10"/>
  <c r="F161" i="10"/>
  <c r="D161" i="10"/>
  <c r="I160" i="10"/>
  <c r="G160" i="10"/>
  <c r="F160" i="10"/>
  <c r="D160" i="10"/>
  <c r="I159" i="10"/>
  <c r="G159" i="10"/>
  <c r="F159" i="10"/>
  <c r="D159" i="10"/>
  <c r="I158" i="10"/>
  <c r="G158" i="10"/>
  <c r="F158" i="10"/>
  <c r="D158" i="10"/>
  <c r="I157" i="10"/>
  <c r="G157" i="10"/>
  <c r="F157" i="10"/>
  <c r="D157" i="10"/>
  <c r="I156" i="10"/>
  <c r="G156" i="10"/>
  <c r="F156" i="10"/>
  <c r="D156" i="10"/>
  <c r="I155" i="10"/>
  <c r="G155" i="10"/>
  <c r="F155" i="10"/>
  <c r="D155" i="10"/>
  <c r="I154" i="10"/>
  <c r="G154" i="10"/>
  <c r="F154" i="10"/>
  <c r="D154" i="10"/>
  <c r="I153" i="10"/>
  <c r="G153" i="10"/>
  <c r="F153" i="10"/>
  <c r="D153" i="10"/>
  <c r="I152" i="10"/>
  <c r="G152" i="10"/>
  <c r="F152" i="10"/>
  <c r="D152" i="10"/>
  <c r="I151" i="10"/>
  <c r="G151" i="10"/>
  <c r="F151" i="10"/>
  <c r="D151" i="10"/>
  <c r="I150" i="10"/>
  <c r="G150" i="10"/>
  <c r="F150" i="10"/>
  <c r="D150" i="10"/>
  <c r="I149" i="10"/>
  <c r="G149" i="10"/>
  <c r="F149" i="10"/>
  <c r="D149" i="10"/>
  <c r="I148" i="10"/>
  <c r="G148" i="10"/>
  <c r="F148" i="10"/>
  <c r="D148" i="10"/>
  <c r="I147" i="10"/>
  <c r="G147" i="10"/>
  <c r="F147" i="10"/>
  <c r="D147" i="10"/>
  <c r="I146" i="10"/>
  <c r="G146" i="10"/>
  <c r="F146" i="10"/>
  <c r="D146" i="10"/>
  <c r="I145" i="10"/>
  <c r="G145" i="10"/>
  <c r="F145" i="10"/>
  <c r="D145" i="10"/>
  <c r="I144" i="10"/>
  <c r="G144" i="10"/>
  <c r="F144" i="10"/>
  <c r="D144" i="10"/>
  <c r="I143" i="10"/>
  <c r="G143" i="10"/>
  <c r="F143" i="10"/>
  <c r="D143" i="10"/>
  <c r="I142" i="10"/>
  <c r="G142" i="10"/>
  <c r="F142" i="10"/>
  <c r="D142" i="10"/>
  <c r="I141" i="10"/>
  <c r="G141" i="10"/>
  <c r="F141" i="10"/>
  <c r="D141" i="10"/>
  <c r="I140" i="10"/>
  <c r="G140" i="10"/>
  <c r="F140" i="10"/>
  <c r="D140" i="10"/>
  <c r="I139" i="10"/>
  <c r="G139" i="10"/>
  <c r="F139" i="10"/>
  <c r="D139" i="10"/>
  <c r="I138" i="10"/>
  <c r="G138" i="10"/>
  <c r="F138" i="10"/>
  <c r="D138" i="10"/>
  <c r="I137" i="10"/>
  <c r="G137" i="10"/>
  <c r="F137" i="10"/>
  <c r="D137" i="10"/>
  <c r="I136" i="10"/>
  <c r="G136" i="10"/>
  <c r="F136" i="10"/>
  <c r="D136" i="10"/>
  <c r="I135" i="10"/>
  <c r="G135" i="10"/>
  <c r="F135" i="10"/>
  <c r="D135" i="10"/>
  <c r="I134" i="10"/>
  <c r="G134" i="10"/>
  <c r="F134" i="10"/>
  <c r="D134" i="10"/>
  <c r="I133" i="10"/>
  <c r="G133" i="10"/>
  <c r="F133" i="10"/>
  <c r="D133" i="10"/>
  <c r="I132" i="10"/>
  <c r="G132" i="10"/>
  <c r="F132" i="10"/>
  <c r="D132" i="10"/>
  <c r="I131" i="10"/>
  <c r="G131" i="10"/>
  <c r="F131" i="10"/>
  <c r="D131" i="10"/>
  <c r="I130" i="10"/>
  <c r="G130" i="10"/>
  <c r="F130" i="10"/>
  <c r="D130" i="10"/>
  <c r="I129" i="10"/>
  <c r="G129" i="10"/>
  <c r="F129" i="10"/>
  <c r="D129" i="10"/>
  <c r="I128" i="10"/>
  <c r="G128" i="10"/>
  <c r="F128" i="10"/>
  <c r="D128" i="10"/>
  <c r="I127" i="10"/>
  <c r="G127" i="10"/>
  <c r="F127" i="10"/>
  <c r="D127" i="10"/>
  <c r="I126" i="10"/>
  <c r="G126" i="10"/>
  <c r="F126" i="10"/>
  <c r="D126" i="10"/>
  <c r="I125" i="10"/>
  <c r="G125" i="10"/>
  <c r="F125" i="10"/>
  <c r="D125" i="10"/>
  <c r="I124" i="10"/>
  <c r="G124" i="10"/>
  <c r="F124" i="10"/>
  <c r="D124" i="10"/>
  <c r="I123" i="10"/>
  <c r="G123" i="10"/>
  <c r="F123" i="10"/>
  <c r="D123" i="10"/>
  <c r="I122" i="10"/>
  <c r="G122" i="10"/>
  <c r="F122" i="10"/>
  <c r="D122" i="10"/>
  <c r="I121" i="10"/>
  <c r="G121" i="10"/>
  <c r="F121" i="10"/>
  <c r="D121" i="10"/>
  <c r="I120" i="10"/>
  <c r="G120" i="10"/>
  <c r="F120" i="10"/>
  <c r="D120" i="10"/>
  <c r="I119" i="10"/>
  <c r="G119" i="10"/>
  <c r="F119" i="10"/>
  <c r="D119" i="10"/>
  <c r="I118" i="10"/>
  <c r="G118" i="10"/>
  <c r="F118" i="10"/>
  <c r="D118" i="10"/>
  <c r="I117" i="10"/>
  <c r="G117" i="10"/>
  <c r="F117" i="10"/>
  <c r="D117" i="10"/>
  <c r="I116" i="10"/>
  <c r="G116" i="10"/>
  <c r="F116" i="10"/>
  <c r="D116" i="10"/>
  <c r="I115" i="10"/>
  <c r="G115" i="10"/>
  <c r="F115" i="10"/>
  <c r="D115" i="10"/>
  <c r="I114" i="10"/>
  <c r="G114" i="10"/>
  <c r="F114" i="10"/>
  <c r="D114" i="10"/>
  <c r="I113" i="10"/>
  <c r="G113" i="10"/>
  <c r="F113" i="10"/>
  <c r="D113" i="10"/>
  <c r="I112" i="10"/>
  <c r="G112" i="10"/>
  <c r="F112" i="10"/>
  <c r="D112" i="10"/>
  <c r="I111" i="10"/>
  <c r="G111" i="10"/>
  <c r="F111" i="10"/>
  <c r="D111" i="10"/>
  <c r="I110" i="10"/>
  <c r="G110" i="10"/>
  <c r="F110" i="10"/>
  <c r="D110" i="10"/>
  <c r="I109" i="10"/>
  <c r="G109" i="10"/>
  <c r="F109" i="10"/>
  <c r="D109" i="10"/>
  <c r="I108" i="10"/>
  <c r="G108" i="10"/>
  <c r="F108" i="10"/>
  <c r="D108" i="10"/>
  <c r="I107" i="10"/>
  <c r="G107" i="10"/>
  <c r="F107" i="10"/>
  <c r="D107" i="10"/>
  <c r="I106" i="10"/>
  <c r="G106" i="10"/>
  <c r="F106" i="10"/>
  <c r="D106" i="10"/>
  <c r="I105" i="10"/>
  <c r="G105" i="10"/>
  <c r="F105" i="10"/>
  <c r="D105" i="10"/>
  <c r="I104" i="10"/>
  <c r="G104" i="10"/>
  <c r="F104" i="10"/>
  <c r="D104" i="10"/>
  <c r="I103" i="10"/>
  <c r="G103" i="10"/>
  <c r="F103" i="10"/>
  <c r="D103" i="10"/>
  <c r="I102" i="10"/>
  <c r="G102" i="10"/>
  <c r="F102" i="10"/>
  <c r="D102" i="10"/>
  <c r="I101" i="10"/>
  <c r="G101" i="10"/>
  <c r="F101" i="10"/>
  <c r="D101" i="10"/>
  <c r="I100" i="10"/>
  <c r="G100" i="10"/>
  <c r="F100" i="10"/>
  <c r="D100" i="10"/>
  <c r="I99" i="10"/>
  <c r="G99" i="10"/>
  <c r="F99" i="10"/>
  <c r="D99" i="10"/>
  <c r="I98" i="10"/>
  <c r="G98" i="10"/>
  <c r="F98" i="10"/>
  <c r="D98" i="10"/>
  <c r="I97" i="10"/>
  <c r="G97" i="10"/>
  <c r="F97" i="10"/>
  <c r="D97" i="10"/>
  <c r="I96" i="10"/>
  <c r="G96" i="10"/>
  <c r="F96" i="10"/>
  <c r="D96" i="10"/>
  <c r="I95" i="10"/>
  <c r="G95" i="10"/>
  <c r="F95" i="10"/>
  <c r="D95" i="10"/>
  <c r="I94" i="10"/>
  <c r="G94" i="10"/>
  <c r="F94" i="10"/>
  <c r="D94" i="10"/>
  <c r="I93" i="10"/>
  <c r="G93" i="10"/>
  <c r="F93" i="10"/>
  <c r="D93" i="10"/>
  <c r="I92" i="10"/>
  <c r="G92" i="10"/>
  <c r="F92" i="10"/>
  <c r="D92" i="10"/>
  <c r="I91" i="10"/>
  <c r="G91" i="10"/>
  <c r="F91" i="10"/>
  <c r="D91" i="10"/>
  <c r="I90" i="10"/>
  <c r="G90" i="10"/>
  <c r="F90" i="10"/>
  <c r="D90" i="10"/>
  <c r="I89" i="10"/>
  <c r="G89" i="10"/>
  <c r="F89" i="10"/>
  <c r="D89" i="10"/>
  <c r="I88" i="10"/>
  <c r="G88" i="10"/>
  <c r="F88" i="10"/>
  <c r="D88" i="10"/>
  <c r="I87" i="10"/>
  <c r="G87" i="10"/>
  <c r="F87" i="10"/>
  <c r="D87" i="10"/>
  <c r="I86" i="10"/>
  <c r="G86" i="10"/>
  <c r="F86" i="10"/>
  <c r="D86" i="10"/>
  <c r="I85" i="10"/>
  <c r="G85" i="10"/>
  <c r="F85" i="10"/>
  <c r="D85" i="10"/>
  <c r="I84" i="10"/>
  <c r="G84" i="10"/>
  <c r="F84" i="10"/>
  <c r="D84" i="10"/>
  <c r="I83" i="10"/>
  <c r="G83" i="10"/>
  <c r="F83" i="10"/>
  <c r="D83" i="10"/>
  <c r="I82" i="10"/>
  <c r="G82" i="10"/>
  <c r="F82" i="10"/>
  <c r="D82" i="10"/>
  <c r="I81" i="10"/>
  <c r="G81" i="10"/>
  <c r="F81" i="10"/>
  <c r="D81" i="10"/>
  <c r="I80" i="10"/>
  <c r="G80" i="10"/>
  <c r="F80" i="10"/>
  <c r="D80" i="10"/>
  <c r="I79" i="10"/>
  <c r="G79" i="10"/>
  <c r="F79" i="10"/>
  <c r="D79" i="10"/>
  <c r="I78" i="10"/>
  <c r="G78" i="10"/>
  <c r="F78" i="10"/>
  <c r="D78" i="10"/>
  <c r="I77" i="10"/>
  <c r="G77" i="10"/>
  <c r="F77" i="10"/>
  <c r="D77" i="10"/>
  <c r="I76" i="10"/>
  <c r="G76" i="10"/>
  <c r="F76" i="10"/>
  <c r="D76" i="10"/>
  <c r="I75" i="10"/>
  <c r="G75" i="10"/>
  <c r="F75" i="10"/>
  <c r="D75" i="10"/>
  <c r="I74" i="10"/>
  <c r="G74" i="10"/>
  <c r="F74" i="10"/>
  <c r="D74" i="10"/>
  <c r="I73" i="10"/>
  <c r="G73" i="10"/>
  <c r="F73" i="10"/>
  <c r="D73" i="10"/>
  <c r="I72" i="10"/>
  <c r="G72" i="10"/>
  <c r="F72" i="10"/>
  <c r="D72" i="10"/>
  <c r="I71" i="10"/>
  <c r="G71" i="10"/>
  <c r="F71" i="10"/>
  <c r="D71" i="10"/>
  <c r="I70" i="10"/>
  <c r="G70" i="10"/>
  <c r="F70" i="10"/>
  <c r="D70" i="10"/>
  <c r="I69" i="10"/>
  <c r="G69" i="10"/>
  <c r="F69" i="10"/>
  <c r="D69" i="10"/>
  <c r="I68" i="10"/>
  <c r="G68" i="10"/>
  <c r="F68" i="10"/>
  <c r="D68" i="10"/>
  <c r="I67" i="10"/>
  <c r="G67" i="10"/>
  <c r="F67" i="10"/>
  <c r="D67" i="10"/>
  <c r="I66" i="10"/>
  <c r="G66" i="10"/>
  <c r="F66" i="10"/>
  <c r="D66" i="10"/>
  <c r="I65" i="10"/>
  <c r="G65" i="10"/>
  <c r="F65" i="10"/>
  <c r="D65" i="10"/>
  <c r="I64" i="10"/>
  <c r="G64" i="10"/>
  <c r="F64" i="10"/>
  <c r="D64" i="10"/>
  <c r="I63" i="10"/>
  <c r="G63" i="10"/>
  <c r="F63" i="10"/>
  <c r="D63" i="10"/>
  <c r="I62" i="10"/>
  <c r="G62" i="10"/>
  <c r="F62" i="10"/>
  <c r="D62" i="10"/>
  <c r="I61" i="10"/>
  <c r="G61" i="10"/>
  <c r="F61" i="10"/>
  <c r="D61" i="10"/>
  <c r="I60" i="10"/>
  <c r="G60" i="10"/>
  <c r="F60" i="10"/>
  <c r="D60" i="10"/>
  <c r="I59" i="10"/>
  <c r="G59" i="10"/>
  <c r="F59" i="10"/>
  <c r="D59" i="10"/>
  <c r="I58" i="10"/>
  <c r="G58" i="10"/>
  <c r="F58" i="10"/>
  <c r="D58" i="10"/>
  <c r="I57" i="10"/>
  <c r="G57" i="10"/>
  <c r="F57" i="10"/>
  <c r="D57" i="10"/>
  <c r="I56" i="10"/>
  <c r="G56" i="10"/>
  <c r="F56" i="10"/>
  <c r="D56" i="10"/>
  <c r="I55" i="10"/>
  <c r="G55" i="10"/>
  <c r="F55" i="10"/>
  <c r="D55" i="10"/>
  <c r="I54" i="10"/>
  <c r="G54" i="10"/>
  <c r="F54" i="10"/>
  <c r="D54" i="10"/>
  <c r="I53" i="10"/>
  <c r="G53" i="10"/>
  <c r="F53" i="10"/>
  <c r="D53" i="10"/>
  <c r="I52" i="10"/>
  <c r="G52" i="10"/>
  <c r="F52" i="10"/>
  <c r="D52" i="10"/>
  <c r="I51" i="10"/>
  <c r="G51" i="10"/>
  <c r="F51" i="10"/>
  <c r="D51" i="10"/>
  <c r="I50" i="10"/>
  <c r="G50" i="10"/>
  <c r="F50" i="10"/>
  <c r="D50" i="10"/>
  <c r="I49" i="10"/>
  <c r="G49" i="10"/>
  <c r="F49" i="10"/>
  <c r="D49" i="10"/>
  <c r="I48" i="10"/>
  <c r="G48" i="10"/>
  <c r="F48" i="10"/>
  <c r="D48" i="10"/>
  <c r="I47" i="10"/>
  <c r="G47" i="10"/>
  <c r="F47" i="10"/>
  <c r="D47" i="10"/>
  <c r="I46" i="10"/>
  <c r="G46" i="10"/>
  <c r="F46" i="10"/>
  <c r="D46" i="10"/>
  <c r="I45" i="10"/>
  <c r="G45" i="10"/>
  <c r="F45" i="10"/>
  <c r="D45" i="10"/>
  <c r="I44" i="10"/>
  <c r="G44" i="10"/>
  <c r="F44" i="10"/>
  <c r="D44" i="10"/>
  <c r="I43" i="10"/>
  <c r="G43" i="10"/>
  <c r="F43" i="10"/>
  <c r="D43" i="10"/>
  <c r="I42" i="10"/>
  <c r="G42" i="10"/>
  <c r="F42" i="10"/>
  <c r="D42" i="10"/>
  <c r="I41" i="10"/>
  <c r="G41" i="10"/>
  <c r="F41" i="10"/>
  <c r="D41" i="10"/>
  <c r="I40" i="10"/>
  <c r="G40" i="10"/>
  <c r="F40" i="10"/>
  <c r="D40" i="10"/>
  <c r="I39" i="10"/>
  <c r="G39" i="10"/>
  <c r="F39" i="10"/>
  <c r="D39" i="10"/>
  <c r="I38" i="10"/>
  <c r="G38" i="10"/>
  <c r="F38" i="10"/>
  <c r="D38" i="10"/>
  <c r="I37" i="10"/>
  <c r="G37" i="10"/>
  <c r="F37" i="10"/>
  <c r="D37" i="10"/>
  <c r="I36" i="10"/>
  <c r="G36" i="10"/>
  <c r="F36" i="10"/>
  <c r="D36" i="10"/>
  <c r="I35" i="10"/>
  <c r="G35" i="10"/>
  <c r="F35" i="10"/>
  <c r="D35" i="10"/>
  <c r="I34" i="10"/>
  <c r="G34" i="10"/>
  <c r="F34" i="10"/>
  <c r="D34" i="10"/>
  <c r="I33" i="10"/>
  <c r="G33" i="10"/>
  <c r="F33" i="10"/>
  <c r="D33" i="10"/>
  <c r="I32" i="10"/>
  <c r="G32" i="10"/>
  <c r="F32" i="10"/>
  <c r="D32" i="10"/>
  <c r="I31" i="10"/>
  <c r="G31" i="10"/>
  <c r="F31" i="10"/>
  <c r="D31" i="10"/>
  <c r="I30" i="10"/>
  <c r="G30" i="10"/>
  <c r="F30" i="10"/>
  <c r="D30" i="10"/>
  <c r="I29" i="10"/>
  <c r="G29" i="10"/>
  <c r="F29" i="10"/>
  <c r="D29" i="10"/>
  <c r="I28" i="10"/>
  <c r="G28" i="10"/>
  <c r="F28" i="10"/>
  <c r="D28" i="10"/>
  <c r="I27" i="10"/>
  <c r="G27" i="10"/>
  <c r="F27" i="10"/>
  <c r="D27" i="10"/>
  <c r="I26" i="10"/>
  <c r="G26" i="10"/>
  <c r="F26" i="10"/>
  <c r="D26" i="10"/>
  <c r="I25" i="10"/>
  <c r="G25" i="10"/>
  <c r="F25" i="10"/>
  <c r="D25" i="10"/>
  <c r="I24" i="10"/>
  <c r="G24" i="10"/>
  <c r="F24" i="10"/>
  <c r="D24" i="10"/>
  <c r="I23" i="10"/>
  <c r="G23" i="10"/>
  <c r="F23" i="10"/>
  <c r="D23" i="10"/>
  <c r="I22" i="10"/>
  <c r="G22" i="10"/>
  <c r="F22" i="10"/>
  <c r="D22" i="10"/>
  <c r="I21" i="10"/>
  <c r="G21" i="10"/>
  <c r="F21" i="10"/>
  <c r="D21" i="10"/>
  <c r="I20" i="10"/>
  <c r="G20" i="10"/>
  <c r="F20" i="10"/>
  <c r="D20" i="10"/>
  <c r="I19" i="10"/>
  <c r="G19" i="10"/>
  <c r="F19" i="10"/>
  <c r="D19" i="10"/>
  <c r="I18" i="10"/>
  <c r="G18" i="10"/>
  <c r="F18" i="10"/>
  <c r="D18" i="10"/>
  <c r="I17" i="10"/>
  <c r="G17" i="10"/>
  <c r="F17" i="10"/>
  <c r="D17" i="10"/>
  <c r="I16" i="10"/>
  <c r="G16" i="10"/>
  <c r="F16" i="10"/>
  <c r="D16" i="10"/>
  <c r="I15" i="10"/>
  <c r="G15" i="10"/>
  <c r="F15" i="10"/>
  <c r="D15" i="10"/>
  <c r="I14" i="10"/>
  <c r="G14" i="10"/>
  <c r="F14" i="10"/>
  <c r="D14" i="10"/>
  <c r="I13" i="10"/>
  <c r="G13" i="10"/>
  <c r="F13" i="10"/>
  <c r="D13" i="10"/>
  <c r="I12" i="10"/>
  <c r="G12" i="10"/>
  <c r="F12" i="10"/>
  <c r="D12" i="10"/>
  <c r="I11" i="10"/>
  <c r="G11" i="10"/>
  <c r="F11" i="10"/>
  <c r="D11" i="10"/>
  <c r="I10" i="10"/>
  <c r="G10" i="10"/>
  <c r="F10" i="10"/>
  <c r="D10" i="10"/>
  <c r="I9" i="10"/>
  <c r="G9" i="10"/>
  <c r="F9" i="10"/>
  <c r="D9" i="10"/>
  <c r="I8" i="10"/>
  <c r="G8" i="10"/>
  <c r="F8" i="10"/>
  <c r="D8" i="10"/>
  <c r="I7" i="10"/>
  <c r="G7" i="10"/>
  <c r="F7" i="10"/>
  <c r="D7" i="10"/>
  <c r="I6" i="10"/>
  <c r="G6" i="10"/>
  <c r="F6" i="10"/>
  <c r="D6" i="10"/>
  <c r="G5" i="10"/>
  <c r="I5" i="10" s="1"/>
  <c r="G4" i="10"/>
  <c r="I4" i="10" s="1"/>
  <c r="E5" i="9"/>
  <c r="E4" i="9"/>
  <c r="B23" i="8"/>
  <c r="B15" i="8"/>
  <c r="B18" i="1" s="1"/>
  <c r="B11" i="8"/>
  <c r="H16" i="1" s="1"/>
  <c r="I10" i="8"/>
  <c r="I9" i="8"/>
  <c r="B9" i="8"/>
  <c r="H15" i="1" s="1"/>
  <c r="I8" i="8"/>
  <c r="I7" i="8"/>
  <c r="I6" i="8"/>
  <c r="B6" i="8"/>
  <c r="D5" i="1" s="1"/>
  <c r="I5" i="8"/>
  <c r="B4" i="8"/>
  <c r="G303" i="6"/>
  <c r="F303" i="6"/>
  <c r="H303" i="6" s="1"/>
  <c r="G302" i="6"/>
  <c r="F302" i="6"/>
  <c r="H302" i="6" s="1"/>
  <c r="G301" i="6"/>
  <c r="F301" i="6"/>
  <c r="H301" i="6" s="1"/>
  <c r="G300" i="6"/>
  <c r="F300" i="6"/>
  <c r="H300" i="6" s="1"/>
  <c r="G299" i="6"/>
  <c r="F299" i="6"/>
  <c r="H299" i="6" s="1"/>
  <c r="G298" i="6"/>
  <c r="F298" i="6"/>
  <c r="H298" i="6" s="1"/>
  <c r="G297" i="6"/>
  <c r="F297" i="6"/>
  <c r="H297" i="6" s="1"/>
  <c r="G296" i="6"/>
  <c r="F296" i="6"/>
  <c r="H296" i="6" s="1"/>
  <c r="G295" i="6"/>
  <c r="F295" i="6"/>
  <c r="H295" i="6" s="1"/>
  <c r="G294" i="6"/>
  <c r="F294" i="6"/>
  <c r="H294" i="6" s="1"/>
  <c r="G293" i="6"/>
  <c r="F293" i="6"/>
  <c r="H293" i="6" s="1"/>
  <c r="G292" i="6"/>
  <c r="F292" i="6"/>
  <c r="H292" i="6" s="1"/>
  <c r="G291" i="6"/>
  <c r="F291" i="6"/>
  <c r="H291" i="6" s="1"/>
  <c r="G290" i="6"/>
  <c r="F290" i="6"/>
  <c r="H290" i="6" s="1"/>
  <c r="G289" i="6"/>
  <c r="F289" i="6"/>
  <c r="H289" i="6" s="1"/>
  <c r="G288" i="6"/>
  <c r="F288" i="6"/>
  <c r="H288" i="6" s="1"/>
  <c r="G287" i="6"/>
  <c r="F287" i="6"/>
  <c r="H287" i="6" s="1"/>
  <c r="G286" i="6"/>
  <c r="F286" i="6"/>
  <c r="H286" i="6" s="1"/>
  <c r="G285" i="6"/>
  <c r="F285" i="6"/>
  <c r="H285" i="6" s="1"/>
  <c r="G284" i="6"/>
  <c r="F284" i="6"/>
  <c r="H284" i="6" s="1"/>
  <c r="G283" i="6"/>
  <c r="F283" i="6"/>
  <c r="H283" i="6" s="1"/>
  <c r="G282" i="6"/>
  <c r="F282" i="6"/>
  <c r="H282" i="6" s="1"/>
  <c r="G281" i="6"/>
  <c r="F281" i="6"/>
  <c r="H281" i="6" s="1"/>
  <c r="G280" i="6"/>
  <c r="F280" i="6"/>
  <c r="H280" i="6" s="1"/>
  <c r="G279" i="6"/>
  <c r="F279" i="6"/>
  <c r="H279" i="6" s="1"/>
  <c r="G278" i="6"/>
  <c r="F278" i="6"/>
  <c r="H278" i="6" s="1"/>
  <c r="G277" i="6"/>
  <c r="F277" i="6"/>
  <c r="H277" i="6" s="1"/>
  <c r="G276" i="6"/>
  <c r="F276" i="6"/>
  <c r="H276" i="6" s="1"/>
  <c r="G275" i="6"/>
  <c r="F275" i="6"/>
  <c r="H275" i="6" s="1"/>
  <c r="G274" i="6"/>
  <c r="F274" i="6"/>
  <c r="H274" i="6" s="1"/>
  <c r="G273" i="6"/>
  <c r="F273" i="6"/>
  <c r="H273" i="6" s="1"/>
  <c r="G272" i="6"/>
  <c r="F272" i="6"/>
  <c r="H272" i="6" s="1"/>
  <c r="G271" i="6"/>
  <c r="F271" i="6"/>
  <c r="H271" i="6" s="1"/>
  <c r="G270" i="6"/>
  <c r="F270" i="6"/>
  <c r="H270" i="6" s="1"/>
  <c r="G269" i="6"/>
  <c r="F269" i="6"/>
  <c r="H269" i="6" s="1"/>
  <c r="G268" i="6"/>
  <c r="F268" i="6"/>
  <c r="H268" i="6" s="1"/>
  <c r="G267" i="6"/>
  <c r="F267" i="6"/>
  <c r="H267" i="6" s="1"/>
  <c r="G266" i="6"/>
  <c r="F266" i="6"/>
  <c r="H266" i="6" s="1"/>
  <c r="G265" i="6"/>
  <c r="F265" i="6"/>
  <c r="H265" i="6" s="1"/>
  <c r="G264" i="6"/>
  <c r="F264" i="6"/>
  <c r="H264" i="6" s="1"/>
  <c r="G263" i="6"/>
  <c r="F263" i="6"/>
  <c r="H263" i="6" s="1"/>
  <c r="G262" i="6"/>
  <c r="F262" i="6"/>
  <c r="H262" i="6" s="1"/>
  <c r="G261" i="6"/>
  <c r="F261" i="6"/>
  <c r="H261" i="6" s="1"/>
  <c r="G260" i="6"/>
  <c r="F260" i="6"/>
  <c r="H260" i="6" s="1"/>
  <c r="G259" i="6"/>
  <c r="F259" i="6"/>
  <c r="H259" i="6" s="1"/>
  <c r="G258" i="6"/>
  <c r="F258" i="6"/>
  <c r="H258" i="6" s="1"/>
  <c r="G257" i="6"/>
  <c r="F257" i="6"/>
  <c r="H257" i="6" s="1"/>
  <c r="G256" i="6"/>
  <c r="F256" i="6"/>
  <c r="H256" i="6" s="1"/>
  <c r="G255" i="6"/>
  <c r="F255" i="6"/>
  <c r="H255" i="6" s="1"/>
  <c r="G254" i="6"/>
  <c r="F254" i="6"/>
  <c r="H254" i="6" s="1"/>
  <c r="G253" i="6"/>
  <c r="F253" i="6"/>
  <c r="H253" i="6" s="1"/>
  <c r="G252" i="6"/>
  <c r="F252" i="6"/>
  <c r="H252" i="6" s="1"/>
  <c r="G251" i="6"/>
  <c r="F251" i="6"/>
  <c r="H251" i="6" s="1"/>
  <c r="G250" i="6"/>
  <c r="F250" i="6"/>
  <c r="H250" i="6" s="1"/>
  <c r="G249" i="6"/>
  <c r="F249" i="6"/>
  <c r="H249" i="6" s="1"/>
  <c r="G248" i="6"/>
  <c r="F248" i="6"/>
  <c r="H248" i="6" s="1"/>
  <c r="G247" i="6"/>
  <c r="F247" i="6"/>
  <c r="H247" i="6" s="1"/>
  <c r="G246" i="6"/>
  <c r="F246" i="6"/>
  <c r="H246" i="6" s="1"/>
  <c r="G245" i="6"/>
  <c r="F245" i="6"/>
  <c r="H245" i="6" s="1"/>
  <c r="G244" i="6"/>
  <c r="F244" i="6"/>
  <c r="H244" i="6" s="1"/>
  <c r="G243" i="6"/>
  <c r="F243" i="6"/>
  <c r="H243" i="6" s="1"/>
  <c r="G242" i="6"/>
  <c r="F242" i="6"/>
  <c r="H242" i="6" s="1"/>
  <c r="G241" i="6"/>
  <c r="F241" i="6"/>
  <c r="H241" i="6" s="1"/>
  <c r="G240" i="6"/>
  <c r="F240" i="6"/>
  <c r="H240" i="6" s="1"/>
  <c r="G239" i="6"/>
  <c r="F239" i="6"/>
  <c r="H239" i="6" s="1"/>
  <c r="G238" i="6"/>
  <c r="F238" i="6"/>
  <c r="H238" i="6" s="1"/>
  <c r="G237" i="6"/>
  <c r="F237" i="6"/>
  <c r="H237" i="6" s="1"/>
  <c r="G236" i="6"/>
  <c r="F236" i="6"/>
  <c r="H236" i="6" s="1"/>
  <c r="G235" i="6"/>
  <c r="F235" i="6"/>
  <c r="H235" i="6" s="1"/>
  <c r="G234" i="6"/>
  <c r="F234" i="6"/>
  <c r="H234" i="6" s="1"/>
  <c r="G233" i="6"/>
  <c r="F233" i="6"/>
  <c r="H233" i="6" s="1"/>
  <c r="G232" i="6"/>
  <c r="F232" i="6"/>
  <c r="H232" i="6" s="1"/>
  <c r="G231" i="6"/>
  <c r="F231" i="6"/>
  <c r="H231" i="6" s="1"/>
  <c r="G230" i="6"/>
  <c r="F230" i="6"/>
  <c r="H230" i="6" s="1"/>
  <c r="G229" i="6"/>
  <c r="F229" i="6"/>
  <c r="H229" i="6" s="1"/>
  <c r="G228" i="6"/>
  <c r="F228" i="6"/>
  <c r="H228" i="6" s="1"/>
  <c r="G227" i="6"/>
  <c r="F227" i="6"/>
  <c r="H227" i="6" s="1"/>
  <c r="G226" i="6"/>
  <c r="F226" i="6"/>
  <c r="H226" i="6" s="1"/>
  <c r="G225" i="6"/>
  <c r="F225" i="6"/>
  <c r="H225" i="6" s="1"/>
  <c r="G224" i="6"/>
  <c r="F224" i="6"/>
  <c r="H224" i="6" s="1"/>
  <c r="G223" i="6"/>
  <c r="F223" i="6"/>
  <c r="H223" i="6" s="1"/>
  <c r="G222" i="6"/>
  <c r="F222" i="6"/>
  <c r="H222" i="6" s="1"/>
  <c r="G221" i="6"/>
  <c r="F221" i="6"/>
  <c r="H221" i="6" s="1"/>
  <c r="G220" i="6"/>
  <c r="F220" i="6"/>
  <c r="H220" i="6" s="1"/>
  <c r="G219" i="6"/>
  <c r="F219" i="6"/>
  <c r="H219" i="6" s="1"/>
  <c r="G218" i="6"/>
  <c r="F218" i="6"/>
  <c r="H218" i="6" s="1"/>
  <c r="G217" i="6"/>
  <c r="F217" i="6"/>
  <c r="H217" i="6" s="1"/>
  <c r="G216" i="6"/>
  <c r="F216" i="6"/>
  <c r="H216" i="6" s="1"/>
  <c r="G215" i="6"/>
  <c r="F215" i="6"/>
  <c r="H215" i="6" s="1"/>
  <c r="G214" i="6"/>
  <c r="F214" i="6"/>
  <c r="H214" i="6" s="1"/>
  <c r="G213" i="6"/>
  <c r="F213" i="6"/>
  <c r="H213" i="6" s="1"/>
  <c r="G212" i="6"/>
  <c r="F212" i="6"/>
  <c r="H212" i="6" s="1"/>
  <c r="G211" i="6"/>
  <c r="F211" i="6"/>
  <c r="H211" i="6" s="1"/>
  <c r="G210" i="6"/>
  <c r="F210" i="6"/>
  <c r="H210" i="6" s="1"/>
  <c r="G209" i="6"/>
  <c r="F209" i="6"/>
  <c r="H209" i="6" s="1"/>
  <c r="G208" i="6"/>
  <c r="F208" i="6"/>
  <c r="H208" i="6" s="1"/>
  <c r="G207" i="6"/>
  <c r="F207" i="6"/>
  <c r="H207" i="6" s="1"/>
  <c r="G206" i="6"/>
  <c r="F206" i="6"/>
  <c r="H206" i="6" s="1"/>
  <c r="G205" i="6"/>
  <c r="F205" i="6"/>
  <c r="H205" i="6" s="1"/>
  <c r="G204" i="6"/>
  <c r="F204" i="6"/>
  <c r="H204" i="6" s="1"/>
  <c r="G203" i="6"/>
  <c r="F203" i="6"/>
  <c r="H203" i="6" s="1"/>
  <c r="G202" i="6"/>
  <c r="F202" i="6"/>
  <c r="H202" i="6" s="1"/>
  <c r="G201" i="6"/>
  <c r="F201" i="6"/>
  <c r="H201" i="6" s="1"/>
  <c r="G200" i="6"/>
  <c r="F200" i="6"/>
  <c r="H200" i="6" s="1"/>
  <c r="G199" i="6"/>
  <c r="F199" i="6"/>
  <c r="H199" i="6" s="1"/>
  <c r="G198" i="6"/>
  <c r="F198" i="6"/>
  <c r="H198" i="6" s="1"/>
  <c r="G197" i="6"/>
  <c r="F197" i="6"/>
  <c r="H197" i="6" s="1"/>
  <c r="G196" i="6"/>
  <c r="F196" i="6"/>
  <c r="H196" i="6" s="1"/>
  <c r="G195" i="6"/>
  <c r="F195" i="6"/>
  <c r="H195" i="6" s="1"/>
  <c r="G194" i="6"/>
  <c r="F194" i="6"/>
  <c r="H194" i="6" s="1"/>
  <c r="G193" i="6"/>
  <c r="F193" i="6"/>
  <c r="H193" i="6" s="1"/>
  <c r="G192" i="6"/>
  <c r="F192" i="6"/>
  <c r="H192" i="6" s="1"/>
  <c r="G191" i="6"/>
  <c r="F191" i="6"/>
  <c r="H191" i="6" s="1"/>
  <c r="G190" i="6"/>
  <c r="F190" i="6"/>
  <c r="H190" i="6" s="1"/>
  <c r="G189" i="6"/>
  <c r="F189" i="6"/>
  <c r="H189" i="6" s="1"/>
  <c r="G188" i="6"/>
  <c r="F188" i="6"/>
  <c r="H188" i="6" s="1"/>
  <c r="G187" i="6"/>
  <c r="F187" i="6"/>
  <c r="H187" i="6" s="1"/>
  <c r="G186" i="6"/>
  <c r="F186" i="6"/>
  <c r="H186" i="6" s="1"/>
  <c r="G185" i="6"/>
  <c r="F185" i="6"/>
  <c r="H185" i="6" s="1"/>
  <c r="G184" i="6"/>
  <c r="F184" i="6"/>
  <c r="H184" i="6" s="1"/>
  <c r="G183" i="6"/>
  <c r="F183" i="6"/>
  <c r="H183" i="6" s="1"/>
  <c r="G182" i="6"/>
  <c r="F182" i="6"/>
  <c r="H182" i="6" s="1"/>
  <c r="G181" i="6"/>
  <c r="F181" i="6"/>
  <c r="H181" i="6" s="1"/>
  <c r="G180" i="6"/>
  <c r="F180" i="6"/>
  <c r="H180" i="6" s="1"/>
  <c r="G179" i="6"/>
  <c r="F179" i="6"/>
  <c r="H179" i="6" s="1"/>
  <c r="G178" i="6"/>
  <c r="F178" i="6"/>
  <c r="H178" i="6" s="1"/>
  <c r="G177" i="6"/>
  <c r="F177" i="6"/>
  <c r="H177" i="6" s="1"/>
  <c r="G176" i="6"/>
  <c r="F176" i="6"/>
  <c r="H176" i="6" s="1"/>
  <c r="G175" i="6"/>
  <c r="F175" i="6"/>
  <c r="H175" i="6" s="1"/>
  <c r="G174" i="6"/>
  <c r="F174" i="6"/>
  <c r="H174" i="6" s="1"/>
  <c r="G173" i="6"/>
  <c r="F173" i="6"/>
  <c r="H173" i="6" s="1"/>
  <c r="G172" i="6"/>
  <c r="F172" i="6"/>
  <c r="H172" i="6" s="1"/>
  <c r="G171" i="6"/>
  <c r="F171" i="6"/>
  <c r="H171" i="6" s="1"/>
  <c r="G170" i="6"/>
  <c r="F170" i="6"/>
  <c r="H170" i="6" s="1"/>
  <c r="G169" i="6"/>
  <c r="F169" i="6"/>
  <c r="H169" i="6" s="1"/>
  <c r="G168" i="6"/>
  <c r="F168" i="6"/>
  <c r="H168" i="6" s="1"/>
  <c r="G167" i="6"/>
  <c r="F167" i="6"/>
  <c r="H167" i="6" s="1"/>
  <c r="G166" i="6"/>
  <c r="F166" i="6"/>
  <c r="H166" i="6" s="1"/>
  <c r="G165" i="6"/>
  <c r="F165" i="6"/>
  <c r="H165" i="6" s="1"/>
  <c r="G164" i="6"/>
  <c r="F164" i="6"/>
  <c r="H164" i="6" s="1"/>
  <c r="G163" i="6"/>
  <c r="F163" i="6"/>
  <c r="H163" i="6" s="1"/>
  <c r="G162" i="6"/>
  <c r="F162" i="6"/>
  <c r="H162" i="6" s="1"/>
  <c r="G161" i="6"/>
  <c r="F161" i="6"/>
  <c r="H161" i="6" s="1"/>
  <c r="G160" i="6"/>
  <c r="F160" i="6"/>
  <c r="H160" i="6" s="1"/>
  <c r="G159" i="6"/>
  <c r="F159" i="6"/>
  <c r="H159" i="6" s="1"/>
  <c r="G158" i="6"/>
  <c r="F158" i="6"/>
  <c r="H158" i="6" s="1"/>
  <c r="G157" i="6"/>
  <c r="F157" i="6"/>
  <c r="H157" i="6" s="1"/>
  <c r="G156" i="6"/>
  <c r="F156" i="6"/>
  <c r="H156" i="6" s="1"/>
  <c r="G155" i="6"/>
  <c r="F155" i="6"/>
  <c r="H155" i="6" s="1"/>
  <c r="G154" i="6"/>
  <c r="F154" i="6"/>
  <c r="H154" i="6" s="1"/>
  <c r="G153" i="6"/>
  <c r="F153" i="6"/>
  <c r="H153" i="6" s="1"/>
  <c r="G152" i="6"/>
  <c r="F152" i="6"/>
  <c r="H152" i="6" s="1"/>
  <c r="G151" i="6"/>
  <c r="F151" i="6"/>
  <c r="H151" i="6" s="1"/>
  <c r="G150" i="6"/>
  <c r="F150" i="6"/>
  <c r="H150" i="6" s="1"/>
  <c r="G149" i="6"/>
  <c r="F149" i="6"/>
  <c r="H149" i="6" s="1"/>
  <c r="G148" i="6"/>
  <c r="F148" i="6"/>
  <c r="H148" i="6" s="1"/>
  <c r="G147" i="6"/>
  <c r="F147" i="6"/>
  <c r="H147" i="6" s="1"/>
  <c r="G146" i="6"/>
  <c r="F146" i="6"/>
  <c r="H146" i="6" s="1"/>
  <c r="G145" i="6"/>
  <c r="F145" i="6"/>
  <c r="H145" i="6" s="1"/>
  <c r="G144" i="6"/>
  <c r="F144" i="6"/>
  <c r="H144" i="6" s="1"/>
  <c r="G143" i="6"/>
  <c r="F143" i="6"/>
  <c r="H143" i="6" s="1"/>
  <c r="G142" i="6"/>
  <c r="F142" i="6"/>
  <c r="H142" i="6" s="1"/>
  <c r="G141" i="6"/>
  <c r="F141" i="6"/>
  <c r="H141" i="6" s="1"/>
  <c r="G140" i="6"/>
  <c r="F140" i="6"/>
  <c r="H140" i="6" s="1"/>
  <c r="G139" i="6"/>
  <c r="F139" i="6"/>
  <c r="H139" i="6" s="1"/>
  <c r="G138" i="6"/>
  <c r="F138" i="6"/>
  <c r="H138" i="6" s="1"/>
  <c r="G137" i="6"/>
  <c r="F137" i="6"/>
  <c r="H137" i="6" s="1"/>
  <c r="G136" i="6"/>
  <c r="F136" i="6"/>
  <c r="H136" i="6" s="1"/>
  <c r="G135" i="6"/>
  <c r="F135" i="6"/>
  <c r="H135" i="6" s="1"/>
  <c r="G134" i="6"/>
  <c r="F134" i="6"/>
  <c r="H134" i="6" s="1"/>
  <c r="G133" i="6"/>
  <c r="F133" i="6"/>
  <c r="H133" i="6" s="1"/>
  <c r="G132" i="6"/>
  <c r="F132" i="6"/>
  <c r="H132" i="6" s="1"/>
  <c r="G131" i="6"/>
  <c r="F131" i="6"/>
  <c r="H131" i="6" s="1"/>
  <c r="G130" i="6"/>
  <c r="F130" i="6"/>
  <c r="H130" i="6" s="1"/>
  <c r="G129" i="6"/>
  <c r="F129" i="6"/>
  <c r="H129" i="6" s="1"/>
  <c r="G128" i="6"/>
  <c r="F128" i="6"/>
  <c r="H128" i="6" s="1"/>
  <c r="G127" i="6"/>
  <c r="F127" i="6"/>
  <c r="H127" i="6" s="1"/>
  <c r="G126" i="6"/>
  <c r="F126" i="6"/>
  <c r="H126" i="6" s="1"/>
  <c r="G125" i="6"/>
  <c r="F125" i="6"/>
  <c r="H125" i="6" s="1"/>
  <c r="G124" i="6"/>
  <c r="F124" i="6"/>
  <c r="H124" i="6" s="1"/>
  <c r="G123" i="6"/>
  <c r="F123" i="6"/>
  <c r="H123" i="6" s="1"/>
  <c r="G122" i="6"/>
  <c r="F122" i="6"/>
  <c r="H122" i="6" s="1"/>
  <c r="G121" i="6"/>
  <c r="F121" i="6"/>
  <c r="H121" i="6" s="1"/>
  <c r="G120" i="6"/>
  <c r="F120" i="6"/>
  <c r="H120" i="6" s="1"/>
  <c r="G119" i="6"/>
  <c r="F119" i="6"/>
  <c r="H119" i="6" s="1"/>
  <c r="G118" i="6"/>
  <c r="F118" i="6"/>
  <c r="H118" i="6" s="1"/>
  <c r="G117" i="6"/>
  <c r="F117" i="6"/>
  <c r="H117" i="6" s="1"/>
  <c r="G116" i="6"/>
  <c r="F116" i="6"/>
  <c r="H116" i="6" s="1"/>
  <c r="G115" i="6"/>
  <c r="F115" i="6"/>
  <c r="H115" i="6" s="1"/>
  <c r="G114" i="6"/>
  <c r="F114" i="6"/>
  <c r="H114" i="6" s="1"/>
  <c r="G113" i="6"/>
  <c r="F113" i="6"/>
  <c r="H113" i="6" s="1"/>
  <c r="G112" i="6"/>
  <c r="F112" i="6"/>
  <c r="H112" i="6" s="1"/>
  <c r="G111" i="6"/>
  <c r="F111" i="6"/>
  <c r="H111" i="6" s="1"/>
  <c r="G110" i="6"/>
  <c r="F110" i="6"/>
  <c r="H110" i="6" s="1"/>
  <c r="G109" i="6"/>
  <c r="F109" i="6"/>
  <c r="H109" i="6" s="1"/>
  <c r="G108" i="6"/>
  <c r="F108" i="6"/>
  <c r="H108" i="6" s="1"/>
  <c r="G107" i="6"/>
  <c r="F107" i="6"/>
  <c r="H107" i="6" s="1"/>
  <c r="G106" i="6"/>
  <c r="F106" i="6"/>
  <c r="H106" i="6" s="1"/>
  <c r="G105" i="6"/>
  <c r="F105" i="6"/>
  <c r="H105" i="6" s="1"/>
  <c r="G104" i="6"/>
  <c r="F104" i="6"/>
  <c r="H104" i="6" s="1"/>
  <c r="G103" i="6"/>
  <c r="F103" i="6"/>
  <c r="H103" i="6" s="1"/>
  <c r="G102" i="6"/>
  <c r="F102" i="6"/>
  <c r="H102" i="6" s="1"/>
  <c r="G101" i="6"/>
  <c r="F101" i="6"/>
  <c r="H101" i="6" s="1"/>
  <c r="G100" i="6"/>
  <c r="F100" i="6"/>
  <c r="H100" i="6" s="1"/>
  <c r="G99" i="6"/>
  <c r="F99" i="6"/>
  <c r="H99" i="6" s="1"/>
  <c r="G98" i="6"/>
  <c r="F98" i="6"/>
  <c r="H98" i="6" s="1"/>
  <c r="G97" i="6"/>
  <c r="F97" i="6"/>
  <c r="H97" i="6" s="1"/>
  <c r="G96" i="6"/>
  <c r="F96" i="6"/>
  <c r="H96" i="6" s="1"/>
  <c r="G95" i="6"/>
  <c r="F95" i="6"/>
  <c r="H95" i="6" s="1"/>
  <c r="G94" i="6"/>
  <c r="F94" i="6"/>
  <c r="H94" i="6" s="1"/>
  <c r="G93" i="6"/>
  <c r="F93" i="6"/>
  <c r="H93" i="6" s="1"/>
  <c r="G92" i="6"/>
  <c r="F92" i="6"/>
  <c r="H92" i="6" s="1"/>
  <c r="G91" i="6"/>
  <c r="F91" i="6"/>
  <c r="H91" i="6" s="1"/>
  <c r="G90" i="6"/>
  <c r="F90" i="6"/>
  <c r="H90" i="6" s="1"/>
  <c r="G89" i="6"/>
  <c r="F89" i="6"/>
  <c r="H89" i="6" s="1"/>
  <c r="G88" i="6"/>
  <c r="F88" i="6"/>
  <c r="H88" i="6" s="1"/>
  <c r="G87" i="6"/>
  <c r="F87" i="6"/>
  <c r="H87" i="6" s="1"/>
  <c r="G86" i="6"/>
  <c r="F86" i="6"/>
  <c r="H86" i="6" s="1"/>
  <c r="G85" i="6"/>
  <c r="F85" i="6"/>
  <c r="H85" i="6" s="1"/>
  <c r="G84" i="6"/>
  <c r="F84" i="6"/>
  <c r="H84" i="6" s="1"/>
  <c r="G83" i="6"/>
  <c r="F83" i="6"/>
  <c r="H83" i="6" s="1"/>
  <c r="G82" i="6"/>
  <c r="F82" i="6"/>
  <c r="H82" i="6" s="1"/>
  <c r="G81" i="6"/>
  <c r="F81" i="6"/>
  <c r="H81" i="6" s="1"/>
  <c r="G80" i="6"/>
  <c r="F80" i="6"/>
  <c r="H80" i="6" s="1"/>
  <c r="G79" i="6"/>
  <c r="F79" i="6"/>
  <c r="H79" i="6" s="1"/>
  <c r="G78" i="6"/>
  <c r="F78" i="6"/>
  <c r="H78" i="6" s="1"/>
  <c r="G77" i="6"/>
  <c r="F77" i="6"/>
  <c r="H77" i="6" s="1"/>
  <c r="G76" i="6"/>
  <c r="F76" i="6"/>
  <c r="H76" i="6" s="1"/>
  <c r="G75" i="6"/>
  <c r="F75" i="6"/>
  <c r="H75" i="6" s="1"/>
  <c r="G74" i="6"/>
  <c r="F74" i="6"/>
  <c r="H74" i="6" s="1"/>
  <c r="G73" i="6"/>
  <c r="F73" i="6"/>
  <c r="H73" i="6" s="1"/>
  <c r="G72" i="6"/>
  <c r="F72" i="6"/>
  <c r="H72" i="6" s="1"/>
  <c r="G71" i="6"/>
  <c r="F71" i="6"/>
  <c r="H71" i="6" s="1"/>
  <c r="G70" i="6"/>
  <c r="F70" i="6"/>
  <c r="H70" i="6" s="1"/>
  <c r="G69" i="6"/>
  <c r="F69" i="6"/>
  <c r="H69" i="6" s="1"/>
  <c r="G68" i="6"/>
  <c r="F68" i="6"/>
  <c r="H68" i="6" s="1"/>
  <c r="G67" i="6"/>
  <c r="F67" i="6"/>
  <c r="H67" i="6" s="1"/>
  <c r="G66" i="6"/>
  <c r="F66" i="6"/>
  <c r="H66" i="6" s="1"/>
  <c r="G65" i="6"/>
  <c r="F65" i="6"/>
  <c r="H65" i="6" s="1"/>
  <c r="G64" i="6"/>
  <c r="F64" i="6"/>
  <c r="H64" i="6" s="1"/>
  <c r="G63" i="6"/>
  <c r="F63" i="6"/>
  <c r="H63" i="6" s="1"/>
  <c r="G62" i="6"/>
  <c r="F62" i="6"/>
  <c r="H62" i="6" s="1"/>
  <c r="G61" i="6"/>
  <c r="F61" i="6"/>
  <c r="H61" i="6" s="1"/>
  <c r="G60" i="6"/>
  <c r="F60" i="6"/>
  <c r="H60" i="6" s="1"/>
  <c r="G59" i="6"/>
  <c r="F59" i="6"/>
  <c r="H59" i="6" s="1"/>
  <c r="G58" i="6"/>
  <c r="F58" i="6"/>
  <c r="H58" i="6" s="1"/>
  <c r="G57" i="6"/>
  <c r="F57" i="6"/>
  <c r="H57" i="6" s="1"/>
  <c r="G56" i="6"/>
  <c r="F56" i="6"/>
  <c r="H56" i="6" s="1"/>
  <c r="G55" i="6"/>
  <c r="F55" i="6"/>
  <c r="H55" i="6" s="1"/>
  <c r="G54" i="6"/>
  <c r="F54" i="6"/>
  <c r="H54" i="6" s="1"/>
  <c r="G53" i="6"/>
  <c r="F53" i="6"/>
  <c r="H53" i="6" s="1"/>
  <c r="G52" i="6"/>
  <c r="F52" i="6"/>
  <c r="H52" i="6" s="1"/>
  <c r="G51" i="6"/>
  <c r="F51" i="6"/>
  <c r="H51" i="6" s="1"/>
  <c r="G50" i="6"/>
  <c r="F50" i="6"/>
  <c r="H50" i="6" s="1"/>
  <c r="G49" i="6"/>
  <c r="F49" i="6"/>
  <c r="H49" i="6" s="1"/>
  <c r="G48" i="6"/>
  <c r="F48" i="6"/>
  <c r="H48" i="6" s="1"/>
  <c r="G47" i="6"/>
  <c r="F47" i="6"/>
  <c r="H47" i="6" s="1"/>
  <c r="G46" i="6"/>
  <c r="F46" i="6"/>
  <c r="H46" i="6" s="1"/>
  <c r="G45" i="6"/>
  <c r="F45" i="6"/>
  <c r="H45" i="6" s="1"/>
  <c r="G44" i="6"/>
  <c r="F44" i="6"/>
  <c r="H44" i="6" s="1"/>
  <c r="G43" i="6"/>
  <c r="F43" i="6"/>
  <c r="H43" i="6" s="1"/>
  <c r="G42" i="6"/>
  <c r="F42" i="6"/>
  <c r="H42" i="6" s="1"/>
  <c r="G41" i="6"/>
  <c r="F41" i="6"/>
  <c r="H41" i="6" s="1"/>
  <c r="G40" i="6"/>
  <c r="F40" i="6"/>
  <c r="H40" i="6" s="1"/>
  <c r="G39" i="6"/>
  <c r="F39" i="6"/>
  <c r="H39" i="6" s="1"/>
  <c r="G38" i="6"/>
  <c r="F38" i="6"/>
  <c r="H38" i="6" s="1"/>
  <c r="G37" i="6"/>
  <c r="F37" i="6"/>
  <c r="H37" i="6" s="1"/>
  <c r="G36" i="6"/>
  <c r="F36" i="6"/>
  <c r="H36" i="6" s="1"/>
  <c r="G35" i="6"/>
  <c r="F35" i="6"/>
  <c r="H35" i="6" s="1"/>
  <c r="G34" i="6"/>
  <c r="F34" i="6"/>
  <c r="H34" i="6" s="1"/>
  <c r="G33" i="6"/>
  <c r="F33" i="6"/>
  <c r="H33" i="6" s="1"/>
  <c r="G32" i="6"/>
  <c r="F32" i="6"/>
  <c r="H32" i="6" s="1"/>
  <c r="G31" i="6"/>
  <c r="H31" i="6"/>
  <c r="G30" i="6"/>
  <c r="F30" i="6"/>
  <c r="H30" i="6" s="1"/>
  <c r="G29" i="6"/>
  <c r="F29" i="6"/>
  <c r="G28" i="6"/>
  <c r="H28" i="6" s="1"/>
  <c r="G27" i="6"/>
  <c r="F27" i="6"/>
  <c r="H26" i="6"/>
  <c r="G25" i="6"/>
  <c r="F25" i="6"/>
  <c r="G24" i="6"/>
  <c r="F24" i="6"/>
  <c r="G23" i="6"/>
  <c r="F23" i="6"/>
  <c r="G15" i="6"/>
  <c r="F15" i="6"/>
  <c r="G14" i="6"/>
  <c r="F14" i="6"/>
  <c r="G13" i="6"/>
  <c r="F13" i="6"/>
  <c r="G12" i="6"/>
  <c r="F12" i="6"/>
  <c r="G11" i="6"/>
  <c r="F11" i="6"/>
  <c r="H10" i="6"/>
  <c r="H9" i="6"/>
  <c r="H8" i="6"/>
  <c r="H7" i="6"/>
  <c r="H6" i="6"/>
  <c r="H5" i="6"/>
  <c r="H4" i="6"/>
  <c r="E203" i="5"/>
  <c r="F203" i="5" s="1"/>
  <c r="E202" i="5"/>
  <c r="F202" i="5" s="1"/>
  <c r="E201" i="5"/>
  <c r="F201" i="5" s="1"/>
  <c r="E200" i="5"/>
  <c r="F200" i="5" s="1"/>
  <c r="E199" i="5"/>
  <c r="F199" i="5" s="1"/>
  <c r="E198" i="5"/>
  <c r="F198" i="5" s="1"/>
  <c r="E197" i="5"/>
  <c r="F197" i="5" s="1"/>
  <c r="E196" i="5"/>
  <c r="F196" i="5" s="1"/>
  <c r="E195" i="5"/>
  <c r="F195" i="5" s="1"/>
  <c r="E194" i="5"/>
  <c r="F194" i="5" s="1"/>
  <c r="E193" i="5"/>
  <c r="F193" i="5" s="1"/>
  <c r="E192" i="5"/>
  <c r="F192" i="5" s="1"/>
  <c r="E191" i="5"/>
  <c r="F191" i="5" s="1"/>
  <c r="E190" i="5"/>
  <c r="F190" i="5" s="1"/>
  <c r="E189" i="5"/>
  <c r="F189" i="5" s="1"/>
  <c r="E188" i="5"/>
  <c r="F188" i="5" s="1"/>
  <c r="E187" i="5"/>
  <c r="F187" i="5" s="1"/>
  <c r="E186" i="5"/>
  <c r="F186" i="5" s="1"/>
  <c r="E185" i="5"/>
  <c r="F185" i="5" s="1"/>
  <c r="E184" i="5"/>
  <c r="F184" i="5" s="1"/>
  <c r="E183" i="5"/>
  <c r="F183" i="5" s="1"/>
  <c r="E182" i="5"/>
  <c r="F182" i="5" s="1"/>
  <c r="E181" i="5"/>
  <c r="F181" i="5" s="1"/>
  <c r="E180" i="5"/>
  <c r="F180" i="5" s="1"/>
  <c r="E179" i="5"/>
  <c r="F179" i="5" s="1"/>
  <c r="E178" i="5"/>
  <c r="F178" i="5" s="1"/>
  <c r="E177" i="5"/>
  <c r="F177" i="5" s="1"/>
  <c r="E176" i="5"/>
  <c r="F176" i="5" s="1"/>
  <c r="E175" i="5"/>
  <c r="F175" i="5" s="1"/>
  <c r="E174" i="5"/>
  <c r="F174" i="5" s="1"/>
  <c r="E173" i="5"/>
  <c r="F173" i="5" s="1"/>
  <c r="E172" i="5"/>
  <c r="F172" i="5" s="1"/>
  <c r="E171" i="5"/>
  <c r="F171" i="5" s="1"/>
  <c r="E170" i="5"/>
  <c r="F170" i="5" s="1"/>
  <c r="E169" i="5"/>
  <c r="F169" i="5" s="1"/>
  <c r="E168" i="5"/>
  <c r="F168" i="5" s="1"/>
  <c r="E167" i="5"/>
  <c r="F167" i="5" s="1"/>
  <c r="E166" i="5"/>
  <c r="F166" i="5" s="1"/>
  <c r="E165" i="5"/>
  <c r="F165" i="5" s="1"/>
  <c r="E164" i="5"/>
  <c r="F164" i="5" s="1"/>
  <c r="E163" i="5"/>
  <c r="F163" i="5" s="1"/>
  <c r="E162" i="5"/>
  <c r="F162" i="5" s="1"/>
  <c r="E161" i="5"/>
  <c r="F161" i="5" s="1"/>
  <c r="E160" i="5"/>
  <c r="F160" i="5" s="1"/>
  <c r="E159" i="5"/>
  <c r="F159" i="5" s="1"/>
  <c r="E158" i="5"/>
  <c r="F158" i="5" s="1"/>
  <c r="E157" i="5"/>
  <c r="F157" i="5" s="1"/>
  <c r="E156" i="5"/>
  <c r="F156" i="5" s="1"/>
  <c r="E155" i="5"/>
  <c r="F155" i="5" s="1"/>
  <c r="E154" i="5"/>
  <c r="F154" i="5" s="1"/>
  <c r="E153" i="5"/>
  <c r="F153" i="5" s="1"/>
  <c r="E152" i="5"/>
  <c r="F152" i="5" s="1"/>
  <c r="E151" i="5"/>
  <c r="F151" i="5" s="1"/>
  <c r="E150" i="5"/>
  <c r="F150" i="5" s="1"/>
  <c r="E149" i="5"/>
  <c r="F149" i="5" s="1"/>
  <c r="E148" i="5"/>
  <c r="F148" i="5" s="1"/>
  <c r="E147" i="5"/>
  <c r="F147" i="5" s="1"/>
  <c r="E146" i="5"/>
  <c r="F146" i="5" s="1"/>
  <c r="E145" i="5"/>
  <c r="F145" i="5" s="1"/>
  <c r="E144" i="5"/>
  <c r="F144" i="5" s="1"/>
  <c r="E143" i="5"/>
  <c r="F143" i="5" s="1"/>
  <c r="E142" i="5"/>
  <c r="F142" i="5" s="1"/>
  <c r="E141" i="5"/>
  <c r="F141" i="5" s="1"/>
  <c r="E140" i="5"/>
  <c r="F140" i="5" s="1"/>
  <c r="E139" i="5"/>
  <c r="F139" i="5" s="1"/>
  <c r="E138" i="5"/>
  <c r="F138" i="5" s="1"/>
  <c r="E137" i="5"/>
  <c r="F137" i="5" s="1"/>
  <c r="E136" i="5"/>
  <c r="F136" i="5" s="1"/>
  <c r="E135" i="5"/>
  <c r="F135" i="5" s="1"/>
  <c r="E134" i="5"/>
  <c r="F134" i="5" s="1"/>
  <c r="E133" i="5"/>
  <c r="F133" i="5" s="1"/>
  <c r="E132" i="5"/>
  <c r="F132" i="5" s="1"/>
  <c r="E131" i="5"/>
  <c r="F131" i="5" s="1"/>
  <c r="E130" i="5"/>
  <c r="F130" i="5" s="1"/>
  <c r="E129" i="5"/>
  <c r="F129" i="5" s="1"/>
  <c r="E128" i="5"/>
  <c r="F128" i="5" s="1"/>
  <c r="E127" i="5"/>
  <c r="F127" i="5" s="1"/>
  <c r="E126" i="5"/>
  <c r="F126" i="5" s="1"/>
  <c r="E125" i="5"/>
  <c r="F125" i="5" s="1"/>
  <c r="E124" i="5"/>
  <c r="F124" i="5" s="1"/>
  <c r="E123" i="5"/>
  <c r="F123" i="5" s="1"/>
  <c r="E122" i="5"/>
  <c r="F122" i="5" s="1"/>
  <c r="E121" i="5"/>
  <c r="F121" i="5" s="1"/>
  <c r="E120" i="5"/>
  <c r="F120" i="5" s="1"/>
  <c r="E119" i="5"/>
  <c r="F119" i="5" s="1"/>
  <c r="E118" i="5"/>
  <c r="F118" i="5" s="1"/>
  <c r="E117" i="5"/>
  <c r="F117" i="5" s="1"/>
  <c r="E116" i="5"/>
  <c r="F116" i="5" s="1"/>
  <c r="E115" i="5"/>
  <c r="F115" i="5" s="1"/>
  <c r="E114" i="5"/>
  <c r="F114" i="5" s="1"/>
  <c r="E113" i="5"/>
  <c r="F113" i="5" s="1"/>
  <c r="E112" i="5"/>
  <c r="F112" i="5" s="1"/>
  <c r="E111" i="5"/>
  <c r="F111" i="5" s="1"/>
  <c r="E110" i="5"/>
  <c r="F110" i="5" s="1"/>
  <c r="E109" i="5"/>
  <c r="F109" i="5" s="1"/>
  <c r="E108" i="5"/>
  <c r="F108" i="5" s="1"/>
  <c r="E107" i="5"/>
  <c r="F107" i="5" s="1"/>
  <c r="E106" i="5"/>
  <c r="F106" i="5" s="1"/>
  <c r="E105" i="5"/>
  <c r="F105" i="5" s="1"/>
  <c r="E104" i="5"/>
  <c r="F104" i="5" s="1"/>
  <c r="E103" i="5"/>
  <c r="F103" i="5" s="1"/>
  <c r="E102" i="5"/>
  <c r="F102" i="5" s="1"/>
  <c r="E101" i="5"/>
  <c r="F101" i="5" s="1"/>
  <c r="E100" i="5"/>
  <c r="F100" i="5" s="1"/>
  <c r="E99" i="5"/>
  <c r="F99" i="5" s="1"/>
  <c r="E98" i="5"/>
  <c r="F98" i="5" s="1"/>
  <c r="E97" i="5"/>
  <c r="F97" i="5" s="1"/>
  <c r="E96" i="5"/>
  <c r="F96" i="5" s="1"/>
  <c r="E95" i="5"/>
  <c r="F95" i="5" s="1"/>
  <c r="E94" i="5"/>
  <c r="F94" i="5" s="1"/>
  <c r="E93" i="5"/>
  <c r="F93" i="5" s="1"/>
  <c r="E92" i="5"/>
  <c r="F92" i="5" s="1"/>
  <c r="E91" i="5"/>
  <c r="F91" i="5" s="1"/>
  <c r="E90" i="5"/>
  <c r="F90" i="5" s="1"/>
  <c r="E89" i="5"/>
  <c r="F89" i="5" s="1"/>
  <c r="E88" i="5"/>
  <c r="F88" i="5" s="1"/>
  <c r="E87" i="5"/>
  <c r="F87" i="5" s="1"/>
  <c r="E86" i="5"/>
  <c r="F86" i="5" s="1"/>
  <c r="E85" i="5"/>
  <c r="F85" i="5" s="1"/>
  <c r="E84" i="5"/>
  <c r="F84" i="5" s="1"/>
  <c r="E83" i="5"/>
  <c r="F83" i="5" s="1"/>
  <c r="E82" i="5"/>
  <c r="F82" i="5" s="1"/>
  <c r="E81" i="5"/>
  <c r="F81" i="5" s="1"/>
  <c r="E80" i="5"/>
  <c r="F80" i="5" s="1"/>
  <c r="E79" i="5"/>
  <c r="F79" i="5" s="1"/>
  <c r="E78" i="5"/>
  <c r="F78" i="5" s="1"/>
  <c r="E77" i="5"/>
  <c r="F77" i="5" s="1"/>
  <c r="E76" i="5"/>
  <c r="F76" i="5" s="1"/>
  <c r="E75" i="5"/>
  <c r="F75" i="5" s="1"/>
  <c r="E74" i="5"/>
  <c r="F74" i="5" s="1"/>
  <c r="E73" i="5"/>
  <c r="F73" i="5" s="1"/>
  <c r="E72" i="5"/>
  <c r="F72" i="5" s="1"/>
  <c r="E71" i="5"/>
  <c r="F71" i="5" s="1"/>
  <c r="E70" i="5"/>
  <c r="F70" i="5" s="1"/>
  <c r="E69" i="5"/>
  <c r="F69" i="5" s="1"/>
  <c r="E68" i="5"/>
  <c r="F68" i="5" s="1"/>
  <c r="E67" i="5"/>
  <c r="F67" i="5" s="1"/>
  <c r="E66" i="5"/>
  <c r="F66" i="5" s="1"/>
  <c r="E65" i="5"/>
  <c r="F65" i="5" s="1"/>
  <c r="E64" i="5"/>
  <c r="F64" i="5" s="1"/>
  <c r="E63" i="5"/>
  <c r="F63" i="5" s="1"/>
  <c r="E62" i="5"/>
  <c r="F62" i="5" s="1"/>
  <c r="E61" i="5"/>
  <c r="F61" i="5" s="1"/>
  <c r="E60" i="5"/>
  <c r="F60" i="5" s="1"/>
  <c r="E59" i="5"/>
  <c r="F59" i="5" s="1"/>
  <c r="E58" i="5"/>
  <c r="F58" i="5" s="1"/>
  <c r="E57" i="5"/>
  <c r="F57" i="5" s="1"/>
  <c r="E56" i="5"/>
  <c r="F56" i="5" s="1"/>
  <c r="E55" i="5"/>
  <c r="F55" i="5" s="1"/>
  <c r="E54" i="5"/>
  <c r="F54" i="5" s="1"/>
  <c r="E53" i="5"/>
  <c r="F53" i="5" s="1"/>
  <c r="E52" i="5"/>
  <c r="F52" i="5" s="1"/>
  <c r="E51" i="5"/>
  <c r="F51" i="5" s="1"/>
  <c r="E50" i="5"/>
  <c r="F50" i="5" s="1"/>
  <c r="E49" i="5"/>
  <c r="F49" i="5" s="1"/>
  <c r="E48" i="5"/>
  <c r="F48" i="5" s="1"/>
  <c r="E47" i="5"/>
  <c r="F47" i="5" s="1"/>
  <c r="E46" i="5"/>
  <c r="F46" i="5" s="1"/>
  <c r="E45" i="5"/>
  <c r="F45" i="5" s="1"/>
  <c r="E44" i="5"/>
  <c r="F44" i="5" s="1"/>
  <c r="E43" i="5"/>
  <c r="F43" i="5" s="1"/>
  <c r="E42" i="5"/>
  <c r="F42" i="5" s="1"/>
  <c r="E41" i="5"/>
  <c r="F41" i="5" s="1"/>
  <c r="E40" i="5"/>
  <c r="F40" i="5" s="1"/>
  <c r="E39" i="5"/>
  <c r="F39" i="5" s="1"/>
  <c r="E38" i="5"/>
  <c r="F38" i="5" s="1"/>
  <c r="E37" i="5"/>
  <c r="F37" i="5" s="1"/>
  <c r="E36" i="5"/>
  <c r="F36" i="5" s="1"/>
  <c r="E35" i="5"/>
  <c r="F35" i="5" s="1"/>
  <c r="E34" i="5"/>
  <c r="F34" i="5" s="1"/>
  <c r="E33" i="5"/>
  <c r="F33" i="5" s="1"/>
  <c r="E32" i="5"/>
  <c r="F32" i="5" s="1"/>
  <c r="E31" i="5"/>
  <c r="F31" i="5" s="1"/>
  <c r="E30" i="5"/>
  <c r="F30" i="5" s="1"/>
  <c r="E29" i="5"/>
  <c r="F29" i="5" s="1"/>
  <c r="E28" i="5"/>
  <c r="F28" i="5" s="1"/>
  <c r="E27" i="5"/>
  <c r="F27" i="5" s="1"/>
  <c r="E26" i="5"/>
  <c r="F26" i="5" s="1"/>
  <c r="E25" i="5"/>
  <c r="F25" i="5" s="1"/>
  <c r="E24" i="5"/>
  <c r="F24" i="5" s="1"/>
  <c r="E23" i="5"/>
  <c r="F23" i="5" s="1"/>
  <c r="E22" i="5"/>
  <c r="F22" i="5" s="1"/>
  <c r="E21" i="5"/>
  <c r="F21" i="5" s="1"/>
  <c r="E20" i="5"/>
  <c r="F20" i="5" s="1"/>
  <c r="E19" i="5"/>
  <c r="F19" i="5" s="1"/>
  <c r="E18" i="5"/>
  <c r="F18" i="5" s="1"/>
  <c r="E17" i="5"/>
  <c r="F17" i="5" s="1"/>
  <c r="E16" i="5"/>
  <c r="F16" i="5" s="1"/>
  <c r="E15" i="5"/>
  <c r="F15" i="5" s="1"/>
  <c r="E14" i="5"/>
  <c r="F14" i="5" s="1"/>
  <c r="E13" i="5"/>
  <c r="F13" i="5" s="1"/>
  <c r="E12" i="5"/>
  <c r="F12" i="5" s="1"/>
  <c r="E11" i="5"/>
  <c r="F11" i="5" s="1"/>
  <c r="E10" i="5"/>
  <c r="F10" i="5" s="1"/>
  <c r="E9" i="5"/>
  <c r="F9" i="5" s="1"/>
  <c r="E8" i="5"/>
  <c r="F8" i="5" s="1"/>
  <c r="E7" i="5"/>
  <c r="F7" i="5" s="1"/>
  <c r="E6" i="5"/>
  <c r="F6" i="5" s="1"/>
  <c r="E5" i="5"/>
  <c r="F5" i="5" s="1"/>
  <c r="E4" i="5"/>
  <c r="F4" i="5" s="1"/>
  <c r="B10" i="8" s="1"/>
  <c r="C18" i="4"/>
  <c r="F18" i="4" s="1"/>
  <c r="C17" i="4"/>
  <c r="E17" i="4" s="1"/>
  <c r="C16" i="4"/>
  <c r="E16" i="4" s="1"/>
  <c r="C15" i="4"/>
  <c r="F15" i="4" s="1"/>
  <c r="C14" i="4"/>
  <c r="F14" i="4" s="1"/>
  <c r="C13" i="4"/>
  <c r="F13" i="4" s="1"/>
  <c r="C12" i="4"/>
  <c r="F12" i="4" s="1"/>
  <c r="C11" i="4"/>
  <c r="F11" i="4" s="1"/>
  <c r="C10" i="4"/>
  <c r="F10" i="4" s="1"/>
  <c r="C9" i="4"/>
  <c r="F9" i="4" s="1"/>
  <c r="C8" i="4"/>
  <c r="E8" i="4" s="1"/>
  <c r="C7" i="4"/>
  <c r="F7" i="4" s="1"/>
  <c r="C6" i="4"/>
  <c r="F6" i="4" s="1"/>
  <c r="C5" i="4"/>
  <c r="F5" i="4" s="1"/>
  <c r="C4" i="4"/>
  <c r="B12" i="3"/>
  <c r="B25" i="8" s="1"/>
  <c r="B9" i="3"/>
  <c r="B22" i="8" s="1"/>
  <c r="A9" i="1" l="1"/>
  <c r="B15" i="1"/>
  <c r="H27" i="6"/>
  <c r="H25" i="6"/>
  <c r="E11" i="4"/>
  <c r="F17" i="4"/>
  <c r="H15" i="6"/>
  <c r="H29" i="6"/>
  <c r="H13" i="6"/>
  <c r="F8" i="4"/>
  <c r="E13" i="4"/>
  <c r="H23" i="6"/>
  <c r="E6" i="4"/>
  <c r="H14" i="6"/>
  <c r="B5" i="8"/>
  <c r="B7" i="8" s="1"/>
  <c r="E12" i="4"/>
  <c r="F16" i="4"/>
  <c r="H12" i="6"/>
  <c r="J9" i="1"/>
  <c r="E5" i="4"/>
  <c r="E14" i="4"/>
  <c r="B17" i="8"/>
  <c r="B20" i="1" s="1"/>
  <c r="B24" i="8"/>
  <c r="H20" i="1" s="1"/>
  <c r="B21" i="8"/>
  <c r="H18" i="1" s="1"/>
  <c r="B17" i="1"/>
  <c r="B12" i="8"/>
  <c r="B18" i="8"/>
  <c r="B21" i="1" s="1"/>
  <c r="E9" i="4"/>
  <c r="H11" i="6"/>
  <c r="H24" i="6"/>
  <c r="F4" i="4"/>
  <c r="E7" i="4"/>
  <c r="H19" i="1"/>
  <c r="E4" i="4"/>
  <c r="E15" i="4"/>
  <c r="E10" i="4"/>
  <c r="E18" i="4"/>
  <c r="I11" i="8"/>
  <c r="H21" i="1"/>
  <c r="B14" i="8"/>
  <c r="B8" i="8" l="1"/>
  <c r="G9" i="1" s="1"/>
  <c r="B13" i="8"/>
  <c r="D9" i="1" s="1"/>
  <c r="J5" i="1"/>
  <c r="B16" i="1"/>
  <c r="B16" i="8"/>
  <c r="B20" i="8"/>
  <c r="H17" i="1"/>
  <c r="G5" i="1"/>
  <c r="J9" i="8"/>
  <c r="J8" i="8"/>
  <c r="J5" i="8"/>
  <c r="J10" i="8"/>
  <c r="J7" i="8"/>
  <c r="J6" i="8"/>
  <c r="B19" i="1" l="1"/>
  <c r="A5" i="1"/>
</calcChain>
</file>

<file path=xl/sharedStrings.xml><?xml version="1.0" encoding="utf-8"?>
<sst xmlns="http://schemas.openxmlformats.org/spreadsheetml/2006/main" count="1541" uniqueCount="236">
  <si>
    <t>Dashboard calottino di categoria</t>
  </si>
  <si>
    <t>Gestione quote, patch, magazzino, ricavi, cassa e spese di categoria</t>
  </si>
  <si>
    <t>Cassa disponibile</t>
  </si>
  <si>
    <t>Quote incassate</t>
  </si>
  <si>
    <t>Patch disponibili</t>
  </si>
  <si>
    <t>Ricavi patch incassati totali</t>
  </si>
  <si>
    <t>Spese categoria</t>
  </si>
  <si>
    <t>Utile lordo patch</t>
  </si>
  <si>
    <t>Persone in regola</t>
  </si>
  <si>
    <t>Margine unitario esterni</t>
  </si>
  <si>
    <t>Flussi principali</t>
  </si>
  <si>
    <t>Magazzino patch</t>
  </si>
  <si>
    <t>Voce</t>
  </si>
  <si>
    <t>Importo</t>
  </si>
  <si>
    <t>Segno</t>
  </si>
  <si>
    <t>Note</t>
  </si>
  <si>
    <t>Valore</t>
  </si>
  <si>
    <t>Unità</t>
  </si>
  <si>
    <t>Entrata</t>
  </si>
  <si>
    <t>Quote iniziali pagate dai 15 componenti</t>
  </si>
  <si>
    <t>Patch acquistate</t>
  </si>
  <si>
    <t>pezzi</t>
  </si>
  <si>
    <t>Totale inserito in Acquisti_Patch</t>
  </si>
  <si>
    <t>Vendite incassate totali: esterni + interni</t>
  </si>
  <si>
    <t>Patch vendute</t>
  </si>
  <si>
    <t>Totale inserito in Vendite_Patch</t>
  </si>
  <si>
    <t>Costo acquisti patch</t>
  </si>
  <si>
    <t>Uscita</t>
  </si>
  <si>
    <t>Acquisti patch registrati come pagati/parziali</t>
  </si>
  <si>
    <t>Acquistate - vendute</t>
  </si>
  <si>
    <t>Spese approvate per ufficio, pranzi, eventi</t>
  </si>
  <si>
    <t>Break-even acquisti a prezzo esterni</t>
  </si>
  <si>
    <t>Patch da vendere a prezzo esterni per coprire il costo acquisti</t>
  </si>
  <si>
    <t>Cassa disponibile stimata</t>
  </si>
  <si>
    <t>Saldo</t>
  </si>
  <si>
    <t>Entrate - uscite</t>
  </si>
  <si>
    <t>€</t>
  </si>
  <si>
    <t>Prezzo esterni - costo unitario</t>
  </si>
  <si>
    <t>Ricavi patch esterni incassati</t>
  </si>
  <si>
    <t>Vendite incassate a prezzo esterni (€15)</t>
  </si>
  <si>
    <t>Break-even acquisti a prezzo interni</t>
  </si>
  <si>
    <t>Patch da vendere a prezzo interni per coprire il costo acquisti</t>
  </si>
  <si>
    <t>Ricavi patch interni incassati</t>
  </si>
  <si>
    <t>Vendite incassate a prezzo interni (€12)</t>
  </si>
  <si>
    <t>Margine unitario interni</t>
  </si>
  <si>
    <t>Prezzo interni - costo unitario</t>
  </si>
  <si>
    <t>Struttura consigliata per futuro sito web</t>
  </si>
  <si>
    <t>Approccio semplice</t>
  </si>
  <si>
    <t>Google Sheets o Excel Online come archivio dati, sito in sola lettura con dashboard.</t>
  </si>
  <si>
    <t>Approccio più robusto</t>
  </si>
  <si>
    <t>Excel su OneDrive/SharePoint + Microsoft Graph API, oppure migrazione dati in Airtable/Supabase.</t>
  </si>
  <si>
    <t>Regola pratica</t>
  </si>
  <si>
    <t>Il file deve restare tabellare: non cambiare i nomi dei fogli e delle intestazioni se poi il sito li legge automaticamente.</t>
  </si>
  <si>
    <t>Come usare il file</t>
  </si>
  <si>
    <t>Passo</t>
  </si>
  <si>
    <t>Area</t>
  </si>
  <si>
    <t>Cosa fare</t>
  </si>
  <si>
    <t>1</t>
  </si>
  <si>
    <t>Inserisci i nomi</t>
  </si>
  <si>
    <t>Vai su Persone_Quote e sostituisci Membro 1, Membro 2, ecc. con i nomi reali.</t>
  </si>
  <si>
    <t>2</t>
  </si>
  <si>
    <t>Registra le quote</t>
  </si>
  <si>
    <t>Compila Quota pagata, Data pagamento e Metodo. Lo stato si aggiorna da solo.</t>
  </si>
  <si>
    <t>3</t>
  </si>
  <si>
    <t>Registra gli acquisti patch</t>
  </si>
  <si>
    <t>Ogni ordine/lotto va inserito in Acquisti_Patch. Il costo totale si calcola automaticamente.</t>
  </si>
  <si>
    <t>4</t>
  </si>
  <si>
    <t>Registra le vendite</t>
  </si>
  <si>
    <t>Ogni vendita va inserita in Vendite_Patch scegliendo il prezzo unitario: 15 € esterni o 12 € interni. Ricavi, costo stimato e utile lordo sono automatici.</t>
  </si>
  <si>
    <t>Registra le spese</t>
  </si>
  <si>
    <t>Usa Spese_Categoria per internet/WiFi, pranzi, materiale ufficio, regali o altri costi.</t>
  </si>
  <si>
    <t>Parametri principali del calottino</t>
  </si>
  <si>
    <t>Numero componenti</t>
  </si>
  <si>
    <t>persone</t>
  </si>
  <si>
    <t>Totale membri del gruppo/categoria</t>
  </si>
  <si>
    <t>Quota iniziale</t>
  </si>
  <si>
    <t>Quota una tantum versata da ciascun componente</t>
  </si>
  <si>
    <t>Costo unitario patch</t>
  </si>
  <si>
    <t>Prezzo pagato al fornitore per ogni patch</t>
  </si>
  <si>
    <t>Prezzo rivendita patch Esterni</t>
  </si>
  <si>
    <t>Prezzo vendita per acquirenti esterni</t>
  </si>
  <si>
    <t>Prezzo rivendita patch Interni</t>
  </si>
  <si>
    <t>Prezzo vendita per acquirenti interni</t>
  </si>
  <si>
    <t>Margine unitario patch Esterni</t>
  </si>
  <si>
    <t>Calcolato automaticamente: prezzo esterni - costo acquisto</t>
  </si>
  <si>
    <t>Obiettivo fondo minimo</t>
  </si>
  <si>
    <t>Facoltativo: imposta un obiettivo di cassa</t>
  </si>
  <si>
    <t>Costo internet/WiFi mensile stimato</t>
  </si>
  <si>
    <t>Facoltativo: utile per stimare i mesi coperti</t>
  </si>
  <si>
    <t>Margine unitario patch Interni</t>
  </si>
  <si>
    <t>Calcolato automaticamente: prezzo interni - costo acquisto</t>
  </si>
  <si>
    <t>Quote iniziali dei componenti</t>
  </si>
  <si>
    <t>ID</t>
  </si>
  <si>
    <t>Nome / Cognome</t>
  </si>
  <si>
    <t>Quota dovuta</t>
  </si>
  <si>
    <t>Quota pagata</t>
  </si>
  <si>
    <t>Stato</t>
  </si>
  <si>
    <t>Data pagamento</t>
  </si>
  <si>
    <t>Metodo</t>
  </si>
  <si>
    <t>Anticipo da rimborsare</t>
  </si>
  <si>
    <t>Capodanno</t>
  </si>
  <si>
    <t>16/06/2026</t>
  </si>
  <si>
    <t>Contanti</t>
  </si>
  <si>
    <t>Quota effettiva 25 euro; extra 245 euro registrato come anticipo da rimborsare.</t>
  </si>
  <si>
    <t>Caggia</t>
  </si>
  <si>
    <t>PayPal</t>
  </si>
  <si>
    <t>Marchesani</t>
  </si>
  <si>
    <t>19/06/2026</t>
  </si>
  <si>
    <t>Zubenko</t>
  </si>
  <si>
    <t>Losito</t>
  </si>
  <si>
    <t>Di Stefano</t>
  </si>
  <si>
    <t>30/06/2026</t>
  </si>
  <si>
    <t>Palladino</t>
  </si>
  <si>
    <t>Locorotondo</t>
  </si>
  <si>
    <t>26/06/2026</t>
  </si>
  <si>
    <t>Pertosa</t>
  </si>
  <si>
    <t>Ottaiano</t>
  </si>
  <si>
    <t>Fragnito</t>
  </si>
  <si>
    <t>Murolo</t>
  </si>
  <si>
    <t>Palma</t>
  </si>
  <si>
    <t>17/06/2026</t>
  </si>
  <si>
    <t>Babele</t>
  </si>
  <si>
    <t>23/06/2026</t>
  </si>
  <si>
    <t>Torrente</t>
  </si>
  <si>
    <t>Acquisti patch / lotti ordinati</t>
  </si>
  <si>
    <t>Data</t>
  </si>
  <si>
    <t>Fornitore</t>
  </si>
  <si>
    <t>Lotto / Descrizione</t>
  </si>
  <si>
    <t>Quantità</t>
  </si>
  <si>
    <t>Costo unitario</t>
  </si>
  <si>
    <t>Costo totale</t>
  </si>
  <si>
    <t>Pagato da</t>
  </si>
  <si>
    <t>Stato pagamento</t>
  </si>
  <si>
    <t>Sanarica</t>
  </si>
  <si>
    <t>Primo Lotto</t>
  </si>
  <si>
    <t>Pagato</t>
  </si>
  <si>
    <t>Soldi da restituire a Mimmo</t>
  </si>
  <si>
    <t>Da pagare</t>
  </si>
  <si>
    <t>Vendite patch / ricavi</t>
  </si>
  <si>
    <t>Acquirente</t>
  </si>
  <si>
    <t>Descrizione</t>
  </si>
  <si>
    <t>Prezzo unitario</t>
  </si>
  <si>
    <t>Ricavo</t>
  </si>
  <si>
    <t>Costo stimato</t>
  </si>
  <si>
    <t>Utile lordo</t>
  </si>
  <si>
    <t>Incassato?</t>
  </si>
  <si>
    <t>Patch categoria</t>
  </si>
  <si>
    <t>Sì</t>
  </si>
  <si>
    <t>Muto</t>
  </si>
  <si>
    <t>D'Orsi</t>
  </si>
  <si>
    <t>Revolut Angelo</t>
  </si>
  <si>
    <t>Dati a Mimmo</t>
  </si>
  <si>
    <t>Marra</t>
  </si>
  <si>
    <t>18/06/2026</t>
  </si>
  <si>
    <t>Ragnoli</t>
  </si>
  <si>
    <t>22/06/2026</t>
  </si>
  <si>
    <t>Lombardo</t>
  </si>
  <si>
    <t>De Rosa</t>
  </si>
  <si>
    <t>Rivellino</t>
  </si>
  <si>
    <t>Jimmy</t>
  </si>
  <si>
    <t>Caprara</t>
  </si>
  <si>
    <t>03/07/2026</t>
  </si>
  <si>
    <t>Radunista</t>
  </si>
  <si>
    <t>06/07/2026</t>
  </si>
  <si>
    <t>Spese di categoria</t>
  </si>
  <si>
    <t>Categoria</t>
  </si>
  <si>
    <t>Approvata?</t>
  </si>
  <si>
    <t>Patch/acquisti</t>
  </si>
  <si>
    <t>Stampo Patch di Categoria</t>
  </si>
  <si>
    <t>Bonifico</t>
  </si>
  <si>
    <t>Magazzino patch e cassa</t>
  </si>
  <si>
    <t>Riepilogo automatico</t>
  </si>
  <si>
    <t>Spese per categoria</t>
  </si>
  <si>
    <t>Componenti previsti</t>
  </si>
  <si>
    <t>Totale</t>
  </si>
  <si>
    <t>% su spese</t>
  </si>
  <si>
    <t>Quote dovute</t>
  </si>
  <si>
    <t>Internet/WiFi</t>
  </si>
  <si>
    <t>Pranzo di categoria</t>
  </si>
  <si>
    <t>Quote ancora da incassare</t>
  </si>
  <si>
    <t>Materiale ufficio</t>
  </si>
  <si>
    <t>Regali/Lieti eventi</t>
  </si>
  <si>
    <t>Altro</t>
  </si>
  <si>
    <t>Utile lordo patch incassato totale</t>
  </si>
  <si>
    <t>Patch disponibili in magazzino</t>
  </si>
  <si>
    <t>Spese categoria approvate</t>
  </si>
  <si>
    <t>Controlli utili</t>
  </si>
  <si>
    <t>Attenzione: stock negativo</t>
  </si>
  <si>
    <t>Break-even patch a prezzo esterni</t>
  </si>
  <si>
    <t>pezzi da vendere a prezzo esterni per coprire costo acquisti</t>
  </si>
  <si>
    <t>Mesi internet/WiFi coperti</t>
  </si>
  <si>
    <t>Break-even patch a prezzo interni</t>
  </si>
  <si>
    <t>pezzi da vendere a prezzo interni per coprire costo acquisti</t>
  </si>
  <si>
    <t>Liste per menu a tendina</t>
  </si>
  <si>
    <t>Metodi pagamento</t>
  </si>
  <si>
    <t>Sì/No</t>
  </si>
  <si>
    <t>Categorie spesa</t>
  </si>
  <si>
    <t>Prezzi patch</t>
  </si>
  <si>
    <t>Parziale</t>
  </si>
  <si>
    <t>No</t>
  </si>
  <si>
    <t>Satispay</t>
  </si>
  <si>
    <t>Registra ogni affidatario in Affidamenti_Patch. Per colleghi o amici, aggiungi prima il nome in Venditori_Affidatari; poi selezionalo nei menu di affidamenti e vendite.</t>
  </si>
  <si>
    <t>6</t>
  </si>
  <si>
    <t>7</t>
  </si>
  <si>
    <t>8</t>
  </si>
  <si>
    <t>Venditore affidatario</t>
  </si>
  <si>
    <t>Venditore</t>
  </si>
  <si>
    <t>Patch affidate per la vendita</t>
  </si>
  <si>
    <t>Una riga per ogni venditore: compila data, nome, quantità affidata, eventuali restituzioni e denaro già versato.</t>
  </si>
  <si>
    <t>Data affidamento</t>
  </si>
  <si>
    <t>Quantità affidata</t>
  </si>
  <si>
    <t>Quantità venduta</t>
  </si>
  <si>
    <t>Quantità restituita</t>
  </si>
  <si>
    <t>Patch ancora affidate</t>
  </si>
  <si>
    <t>Incasso vendite</t>
  </si>
  <si>
    <t>Versato in cassa</t>
  </si>
  <si>
    <t>Denaro da versare</t>
  </si>
  <si>
    <t>Stato / Note</t>
  </si>
  <si>
    <t>Elenco venditori affidatari</t>
  </si>
  <si>
    <t>I componenti sono riportati automaticamente. Per aggiungere colleghi o amici, scrivi il loro nome nelle righe della sezione Esterni.</t>
  </si>
  <si>
    <t>Tipo</t>
  </si>
  <si>
    <t>Componente</t>
  </si>
  <si>
    <t>Elenco automatico dei componenti</t>
  </si>
  <si>
    <t>Esterno</t>
  </si>
  <si>
    <t>10/07/2026</t>
  </si>
  <si>
    <t>Per Scuotto</t>
  </si>
  <si>
    <t>15/07/2026</t>
  </si>
  <si>
    <t>19/07/2026</t>
  </si>
  <si>
    <t>Scuotto</t>
  </si>
  <si>
    <t>31/07/2026</t>
  </si>
  <si>
    <t>Manzi</t>
  </si>
  <si>
    <t>20/07/2026</t>
  </si>
  <si>
    <t>Fabbiano</t>
  </si>
  <si>
    <t>21/09/2026</t>
  </si>
  <si>
    <t>16/10/2026</t>
  </si>
  <si>
    <t>22/10/2026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</si>
</sst>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€\ #,##0.00"/>
    <numFmt numFmtId="165" formatCode="dd/mm/yyyy"/>
    <numFmt numFmtId="166" formatCode="0.0"/>
    <numFmt numFmtId="167" formatCode="0.0%"/>
  </numFmts>
  <fonts count="17">
    <font>
      <sz val="11"/>
      <name val="Carlito"/>
    </font>
    <font>
      <b/>
      <sz val="16"/>
      <color rgb="FFFFFFFF"/>
      <name val="Calibri"/>
      <family val="2"/>
    </font>
    <font>
      <sz val="11"/>
      <name val="Calibri"/>
      <family val="2"/>
    </font>
    <font>
      <i/>
      <sz val="11"/>
      <color rgb="FF111827"/>
      <name val="Calibri"/>
      <family val="2"/>
    </font>
    <font>
      <b/>
      <sz val="10"/>
      <color rgb="FFFFFFFF"/>
      <name val="Calibri"/>
      <family val="2"/>
    </font>
    <font>
      <b/>
      <sz val="16"/>
      <color rgb="FF111827"/>
      <name val="Calibri"/>
      <family val="2"/>
    </font>
    <font>
      <b/>
      <sz val="11"/>
      <color rgb="FFFFFFFF"/>
      <name val="Calibri"/>
      <family val="2"/>
    </font>
    <font>
      <sz val="10"/>
      <color rgb="FF111827"/>
      <name val="Calibri"/>
      <family val="2"/>
    </font>
    <font>
      <b/>
      <sz val="10"/>
      <color rgb="FF111827"/>
      <name val="Calibri"/>
      <family val="2"/>
    </font>
    <font>
      <b/>
      <sz val="11"/>
      <name val="Calibri"/>
      <family val="2"/>
    </font>
    <font>
      <sz val="10"/>
      <color rgb="FF0070C0"/>
      <name val="Calibri"/>
      <family val="2"/>
    </font>
    <font>
      <b/>
      <sz val="16"/>
      <color rgb="FFFFFFFF"/>
      <name val="Carlito"/>
    </font>
    <font>
      <i/>
      <sz val="10"/>
      <color rgb="FF111827"/>
      <name val="Carlito"/>
    </font>
    <font>
      <b/>
      <sz val="10"/>
      <color rgb="FFFFFFFF"/>
      <name val="Carlito"/>
    </font>
    <font>
      <sz val="10"/>
      <color rgb="FF111827"/>
      <name val="Carlito"/>
    </font>
    <font>
      <b/>
      <sz val="11"/>
      <color rgb="FFFFFFFF"/>
      <name val="Carlito"/>
    </font>
    <font>
      <sz val="10"/>
      <color rgb="FF111827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0F766E"/>
      </patternFill>
    </fill>
    <fill>
      <patternFill patternType="solid">
        <fgColor rgb="FFDBEAFE"/>
      </patternFill>
    </fill>
    <fill>
      <patternFill patternType="solid">
        <fgColor rgb="FFFFFFFF"/>
      </patternFill>
    </fill>
    <fill>
      <patternFill patternType="solid">
        <fgColor rgb="FFE2E3E5"/>
      </patternFill>
    </fill>
    <fill>
      <patternFill patternType="solid">
        <fgColor rgb="FF1F4E78"/>
      </patternFill>
    </fill>
    <fill>
      <patternFill patternType="solid">
        <fgColor rgb="FFDBEAFE"/>
      </patternFill>
    </fill>
    <fill>
      <patternFill patternType="solid">
        <fgColor rgb="FF0F766E"/>
      </patternFill>
    </fill>
    <fill>
      <patternFill patternType="solid">
        <fgColor rgb="FF1F4E78"/>
      </patternFill>
    </fill>
    <fill>
      <patternFill patternType="solid">
        <fgColor rgb="FFDBEAFE"/>
      </patternFill>
    </fill>
    <fill>
      <patternFill patternType="solid">
        <fgColor rgb="FF0F766E"/>
      </patternFill>
    </fill>
    <fill>
      <patternFill patternType="solid">
        <fgColor rgb="FFFFF7ED"/>
      </patternFill>
    </fill>
  </fills>
  <borders count="10">
    <border>
      <left/>
      <right/>
      <top/>
      <bottom/>
      <diagonal/>
    </border>
    <border>
      <left/>
      <right style="thin">
        <color rgb="FFE5E7EB"/>
      </right>
      <top/>
      <bottom style="thin">
        <color rgb="FFE5E7EB"/>
      </bottom>
      <diagonal/>
    </border>
    <border>
      <left style="thin">
        <color rgb="FFE5E7EB"/>
      </left>
      <right style="thin">
        <color rgb="FFE5E7EB"/>
      </right>
      <top/>
      <bottom style="thin">
        <color rgb="FFE5E7EB"/>
      </bottom>
      <diagonal/>
    </border>
    <border>
      <left style="thin">
        <color rgb="FFE5E7EB"/>
      </left>
      <right/>
      <top/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/>
      <top style="thin">
        <color rgb="FFE5E7EB"/>
      </top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/>
      <diagonal/>
    </border>
    <border>
      <left style="thin">
        <color rgb="FFE5E7EB"/>
      </left>
      <right/>
      <top style="thin">
        <color rgb="FFE5E7EB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2" fillId="0" borderId="0" xfId="0" applyFont="1"/>
    <xf numFmtId="0" fontId="6" fillId="3" borderId="0" xfId="0" applyFont="1" applyFill="1" applyAlignment="1">
      <alignment horizontal="center" vertical="center" wrapText="1"/>
    </xf>
    <xf numFmtId="0" fontId="7" fillId="0" borderId="0" xfId="0" applyFont="1" applyAlignment="1">
      <alignment vertical="top" wrapText="1"/>
    </xf>
    <xf numFmtId="164" fontId="7" fillId="0" borderId="0" xfId="0" applyNumberFormat="1" applyFont="1" applyAlignment="1">
      <alignment vertical="top" wrapText="1"/>
    </xf>
    <xf numFmtId="1" fontId="7" fillId="0" borderId="0" xfId="0" applyNumberFormat="1" applyFont="1" applyAlignment="1">
      <alignment vertical="top" wrapText="1"/>
    </xf>
    <xf numFmtId="0" fontId="8" fillId="0" borderId="0" xfId="0" applyFont="1" applyAlignment="1">
      <alignment vertical="top" wrapText="1"/>
    </xf>
    <xf numFmtId="164" fontId="8" fillId="0" borderId="0" xfId="0" applyNumberFormat="1" applyFont="1" applyAlignment="1">
      <alignment vertical="top" wrapText="1"/>
    </xf>
    <xf numFmtId="165" fontId="7" fillId="0" borderId="0" xfId="0" applyNumberFormat="1" applyFont="1" applyAlignment="1">
      <alignment vertical="top" wrapText="1"/>
    </xf>
    <xf numFmtId="167" fontId="7" fillId="0" borderId="0" xfId="0" applyNumberFormat="1" applyFont="1" applyAlignment="1">
      <alignment vertical="top" wrapText="1"/>
    </xf>
    <xf numFmtId="166" fontId="7" fillId="0" borderId="0" xfId="0" applyNumberFormat="1" applyFont="1" applyAlignment="1">
      <alignment vertical="top" wrapText="1"/>
    </xf>
    <xf numFmtId="164" fontId="2" fillId="0" borderId="0" xfId="0" applyNumberFormat="1" applyFont="1"/>
    <xf numFmtId="0" fontId="9" fillId="6" borderId="0" xfId="0" applyFont="1" applyFill="1"/>
    <xf numFmtId="164" fontId="10" fillId="0" borderId="0" xfId="0" applyNumberFormat="1" applyFont="1" applyAlignment="1">
      <alignment vertical="top" wrapText="1"/>
    </xf>
    <xf numFmtId="49" fontId="7" fillId="0" borderId="0" xfId="0" applyNumberFormat="1" applyFont="1" applyAlignment="1">
      <alignment vertical="top" wrapText="1"/>
    </xf>
    <xf numFmtId="0" fontId="13" fillId="9" borderId="0" xfId="0" applyFont="1" applyFill="1" applyAlignment="1">
      <alignment horizontal="center" vertical="center" wrapText="1"/>
    </xf>
    <xf numFmtId="0" fontId="14" fillId="0" borderId="2" xfId="0" applyFont="1" applyBorder="1" applyAlignment="1">
      <alignment vertical="center" wrapText="1"/>
    </xf>
    <xf numFmtId="0" fontId="14" fillId="0" borderId="3" xfId="0" applyFont="1" applyBorder="1" applyAlignment="1">
      <alignment vertical="center" wrapText="1"/>
    </xf>
    <xf numFmtId="0" fontId="14" fillId="0" borderId="5" xfId="0" applyFont="1" applyBorder="1" applyAlignment="1">
      <alignment vertical="center" wrapText="1"/>
    </xf>
    <xf numFmtId="0" fontId="14" fillId="0" borderId="6" xfId="0" applyFont="1" applyBorder="1" applyAlignment="1">
      <alignment vertical="center" wrapText="1"/>
    </xf>
    <xf numFmtId="0" fontId="14" fillId="0" borderId="8" xfId="0" applyFont="1" applyBorder="1" applyAlignment="1">
      <alignment vertical="center" wrapText="1"/>
    </xf>
    <xf numFmtId="0" fontId="14" fillId="0" borderId="9" xfId="0" applyFont="1" applyBorder="1" applyAlignment="1">
      <alignment vertical="center" wrapText="1"/>
    </xf>
    <xf numFmtId="3" fontId="14" fillId="0" borderId="2" xfId="0" applyNumberFormat="1" applyFont="1" applyBorder="1" applyAlignment="1">
      <alignment vertical="center" wrapText="1"/>
    </xf>
    <xf numFmtId="3" fontId="14" fillId="0" borderId="5" xfId="0" applyNumberFormat="1" applyFont="1" applyBorder="1" applyAlignment="1">
      <alignment vertical="center" wrapText="1"/>
    </xf>
    <xf numFmtId="3" fontId="14" fillId="0" borderId="8" xfId="0" applyNumberFormat="1" applyFont="1" applyBorder="1" applyAlignment="1">
      <alignment vertical="center" wrapText="1"/>
    </xf>
    <xf numFmtId="164" fontId="14" fillId="0" borderId="2" xfId="0" applyNumberFormat="1" applyFont="1" applyBorder="1" applyAlignment="1">
      <alignment vertical="center" wrapText="1"/>
    </xf>
    <xf numFmtId="164" fontId="14" fillId="0" borderId="5" xfId="0" applyNumberFormat="1" applyFont="1" applyBorder="1" applyAlignment="1">
      <alignment vertical="center" wrapText="1"/>
    </xf>
    <xf numFmtId="164" fontId="14" fillId="0" borderId="8" xfId="0" applyNumberFormat="1" applyFont="1" applyBorder="1" applyAlignment="1">
      <alignment vertical="center" wrapText="1"/>
    </xf>
    <xf numFmtId="0" fontId="0" fillId="0" borderId="0" xfId="0" applyAlignment="1">
      <alignment wrapText="1"/>
    </xf>
    <xf numFmtId="0" fontId="15" fillId="1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2" fillId="0" borderId="0" xfId="0" applyFont="1"/>
    <xf numFmtId="0" fontId="3" fillId="4" borderId="0" xfId="0" applyFont="1" applyFill="1" applyAlignment="1">
      <alignment horizontal="left"/>
    </xf>
    <xf numFmtId="0" fontId="4" fillId="2" borderId="0" xfId="0" applyFont="1" applyFill="1" applyAlignment="1">
      <alignment horizontal="center" vertical="center" wrapText="1"/>
    </xf>
    <xf numFmtId="164" fontId="5" fillId="5" borderId="0" xfId="0" applyNumberFormat="1" applyFont="1" applyFill="1" applyAlignment="1">
      <alignment horizontal="center" vertical="center"/>
    </xf>
    <xf numFmtId="1" fontId="5" fillId="5" borderId="0" xfId="0" applyNumberFormat="1" applyFont="1" applyFill="1" applyAlignment="1">
      <alignment horizontal="center" vertical="center"/>
    </xf>
    <xf numFmtId="0" fontId="6" fillId="3" borderId="0" xfId="0" applyFont="1" applyFill="1" applyAlignment="1">
      <alignment horizontal="left" vertical="center"/>
    </xf>
    <xf numFmtId="49" fontId="5" fillId="5" borderId="0" xfId="0" applyNumberFormat="1" applyFont="1" applyFill="1" applyAlignment="1">
      <alignment horizontal="center" vertical="center"/>
    </xf>
    <xf numFmtId="0" fontId="11" fillId="7" borderId="0" xfId="0" applyFont="1" applyFill="1" applyAlignment="1">
      <alignment horizontal="left" vertical="center"/>
    </xf>
    <xf numFmtId="0" fontId="12" fillId="8" borderId="0" xfId="0" applyFont="1" applyFill="1" applyAlignment="1">
      <alignment vertical="center" wrapText="1"/>
    </xf>
    <xf numFmtId="0" fontId="11" fillId="10" borderId="0" xfId="0" applyFont="1" applyFill="1" applyAlignment="1">
      <alignment vertical="center"/>
    </xf>
    <xf numFmtId="0" fontId="12" fillId="11" borderId="0" xfId="0" applyFont="1" applyFill="1" applyAlignment="1">
      <alignment vertical="center" wrapText="1"/>
    </xf>
    <xf numFmtId="0" fontId="16" fillId="0" borderId="1" xfId="0" applyFont="1" applyBorder="1" applyAlignment="1">
      <alignment vertical="center" wrapText="1"/>
    </xf>
    <xf numFmtId="0" fontId="16" fillId="0" borderId="2" xfId="0" applyFont="1" applyBorder="1" applyAlignment="1">
      <alignment vertical="center" wrapText="1"/>
    </xf>
    <xf numFmtId="0" fontId="16" fillId="0" borderId="3" xfId="0" applyFont="1" applyBorder="1" applyAlignment="1">
      <alignment vertical="center" wrapText="1"/>
    </xf>
    <xf numFmtId="0" fontId="16" fillId="0" borderId="4" xfId="0" applyFont="1" applyBorder="1" applyAlignment="1">
      <alignment vertical="center" wrapText="1"/>
    </xf>
    <xf numFmtId="0" fontId="16" fillId="0" borderId="5" xfId="0" applyFont="1" applyBorder="1" applyAlignment="1">
      <alignment vertical="center" wrapText="1"/>
    </xf>
    <xf numFmtId="0" fontId="16" fillId="0" borderId="6" xfId="0" applyFont="1" applyBorder="1" applyAlignment="1">
      <alignment vertical="center" wrapText="1"/>
    </xf>
    <xf numFmtId="0" fontId="16" fillId="13" borderId="4" xfId="0" applyFont="1" applyFill="1" applyBorder="1" applyAlignment="1">
      <alignment vertical="center" wrapText="1"/>
    </xf>
    <xf numFmtId="0" fontId="16" fillId="13" borderId="5" xfId="0" applyFont="1" applyFill="1" applyBorder="1" applyAlignment="1">
      <alignment vertical="center" wrapText="1"/>
    </xf>
    <xf numFmtId="0" fontId="16" fillId="13" borderId="6" xfId="0" applyFont="1" applyFill="1" applyBorder="1" applyAlignment="1">
      <alignment vertical="center" wrapText="1"/>
    </xf>
    <xf numFmtId="0" fontId="16" fillId="13" borderId="7" xfId="0" applyFont="1" applyFill="1" applyBorder="1" applyAlignment="1">
      <alignment vertical="center" wrapText="1"/>
    </xf>
    <xf numFmtId="0" fontId="16" fillId="13" borderId="8" xfId="0" applyFont="1" applyFill="1" applyBorder="1" applyAlignment="1">
      <alignment vertical="center" wrapText="1"/>
    </xf>
    <xf numFmtId="0" fontId="16" fillId="13" borderId="9" xfId="0" applyFont="1" applyFill="1" applyBorder="1" applyAlignment="1">
      <alignment vertical="center" wrapText="1"/>
    </xf>
  </cellXfs>
  <cellStyles count="1">
    <cellStyle name="Normal" xfId="0" builtinId="0"/>
  </cellStyles>
  <dxfs count="64">
    <dxf>
      <font>
        <strike val="0"/>
        <outline val="0"/>
        <shadow val="0"/>
        <u val="none"/>
        <vertAlign val="baseline"/>
        <sz val="10"/>
        <color rgb="FF111827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rgb="FF111827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rgb="FF111827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rgb="FF111827"/>
        <name val="Calibri"/>
        <family val="2"/>
        <scheme val="minor"/>
      </font>
    </dxf>
    <dxf>
      <fill>
        <patternFill>
          <bgColor rgb="FFDCFCE7"/>
        </patternFill>
      </fill>
    </dxf>
    <dxf>
      <fill>
        <patternFill>
          <bgColor rgb="FFFEE2E2"/>
        </patternFill>
      </fill>
    </dxf>
    <dxf>
      <fill>
        <patternFill>
          <bgColor rgb="FFDCFCE7"/>
        </patternFill>
      </fill>
    </dxf>
    <dxf>
      <font>
        <b/>
        <color rgb="FF991B1B"/>
      </font>
      <fill>
        <patternFill>
          <bgColor rgb="FFFEE2E2"/>
        </patternFill>
      </fill>
    </dxf>
    <dxf>
      <fill>
        <patternFill>
          <bgColor rgb="FFDCFCE7"/>
        </patternFill>
      </fill>
    </dxf>
    <dxf>
      <font>
        <b/>
        <color rgb="FF991B1B"/>
      </font>
      <fill>
        <patternFill>
          <bgColor rgb="FFFEE2E2"/>
        </patternFill>
      </fill>
    </dxf>
    <dxf>
      <font>
        <b/>
        <color rgb="FF991B1B"/>
      </font>
      <fill>
        <patternFill>
          <bgColor rgb="FFFEE2E2"/>
        </patternFill>
      </fill>
    </dxf>
    <dxf>
      <fill>
        <patternFill>
          <bgColor rgb="FFFEE2E2"/>
        </patternFill>
      </fill>
    </dxf>
    <dxf>
      <fill>
        <patternFill>
          <bgColor rgb="FFDCFCE7"/>
        </patternFill>
      </fill>
    </dxf>
    <dxf>
      <fill>
        <patternFill>
          <bgColor rgb="FFFEE2E2"/>
        </patternFill>
      </fill>
    </dxf>
    <dxf>
      <fill>
        <patternFill>
          <bgColor rgb="FFDCFCE7"/>
        </patternFill>
      </fill>
    </dxf>
    <dxf>
      <fill>
        <patternFill>
          <bgColor rgb="FFFEF3C7"/>
        </patternFill>
      </fill>
    </dxf>
    <dxf>
      <fill>
        <patternFill>
          <bgColor rgb="FFFEE2E2"/>
        </patternFill>
      </fill>
    </dxf>
    <dxf>
      <fill>
        <patternFill>
          <bgColor rgb="FFDCFCE7"/>
        </patternFill>
      </fill>
    </dxf>
    <dxf>
      <fill>
        <patternFill>
          <bgColor rgb="FFFEF3C7"/>
        </patternFill>
      </fill>
    </dxf>
    <dxf>
      <fill>
        <patternFill>
          <bgColor rgb="FFFEE2E2"/>
        </patternFill>
      </fill>
    </dxf>
    <dxf>
      <fill>
        <patternFill>
          <bgColor rgb="FFDCFCE7"/>
        </patternFill>
      </fill>
    </dxf>
    <dxf>
      <font>
        <b/>
        <color rgb="FF166534"/>
      </font>
      <fill>
        <patternFill>
          <bgColor rgb="FFDCFCE7"/>
        </patternFill>
      </fill>
    </dxf>
    <dxf>
      <font>
        <b/>
        <color rgb="FF991B1B"/>
      </font>
      <fill>
        <patternFill>
          <bgColor rgb="FFFEE2E2"/>
        </patternFill>
      </fill>
    </dxf>
    <dxf>
      <font>
        <u val="none"/>
        <name val="Calibri"/>
        <family val="2"/>
        <scheme val="minor"/>
      </font>
    </dxf>
    <dxf>
      <font>
        <u val="none"/>
        <name val="Calibri"/>
        <family val="2"/>
        <scheme val="minor"/>
      </font>
    </dxf>
    <dxf>
      <font>
        <u val="none"/>
        <name val="Calibri"/>
        <family val="2"/>
        <scheme val="minor"/>
      </font>
    </dxf>
    <dxf>
      <font>
        <u val="none"/>
        <name val="Calibri"/>
        <family val="2"/>
        <scheme val="minor"/>
      </font>
    </dxf>
    <dxf>
      <font>
        <u val="none"/>
        <name val="Calibri"/>
        <family val="2"/>
        <scheme val="minor"/>
      </font>
    </dxf>
    <dxf>
      <font>
        <u val="none"/>
        <name val="Calibri"/>
        <family val="2"/>
        <scheme val="minor"/>
      </font>
    </dxf>
    <dxf>
      <font>
        <u val="none"/>
        <name val="Calibri"/>
        <family val="2"/>
        <scheme val="minor"/>
      </font>
    </dxf>
    <dxf>
      <font>
        <u val="none"/>
        <name val="Calibri"/>
        <family val="2"/>
        <scheme val="minor"/>
      </font>
    </dxf>
    <dxf>
      <font>
        <u val="none"/>
        <name val="Calibri"/>
        <family val="2"/>
        <scheme val="minor"/>
      </font>
    </dxf>
    <dxf>
      <font>
        <u val="none"/>
        <name val="Calibri"/>
        <family val="2"/>
        <scheme val="minor"/>
      </font>
    </dxf>
    <dxf>
      <font>
        <u val="none"/>
        <name val="Calibri"/>
        <family val="2"/>
        <scheme val="minor"/>
      </font>
    </dxf>
    <dxf>
      <font>
        <u val="none"/>
        <name val="Calibri"/>
        <family val="2"/>
        <scheme val="minor"/>
      </font>
    </dxf>
    <dxf>
      <font>
        <u val="none"/>
        <name val="Calibri"/>
        <family val="2"/>
        <scheme val="minor"/>
      </font>
      <numFmt numFmtId="164" formatCode="\€\ #,##0.00"/>
    </dxf>
    <dxf>
      <font>
        <u val="none"/>
        <name val="Calibri"/>
        <family val="2"/>
        <scheme val="minor"/>
      </font>
      <numFmt numFmtId="164" formatCode="\€\ #,##0.00"/>
    </dxf>
    <dxf>
      <font>
        <u val="none"/>
        <name val="Calibri"/>
        <family val="2"/>
        <scheme val="minor"/>
      </font>
      <numFmt numFmtId="164" formatCode="\€\ #,##0.00"/>
    </dxf>
    <dxf>
      <font>
        <u val="none"/>
        <color rgb="FF0070C0"/>
        <name val="Calibri"/>
        <family val="2"/>
        <scheme val="minor"/>
      </font>
      <numFmt numFmtId="164" formatCode="\€\ #,##0.00"/>
    </dxf>
    <dxf>
      <font>
        <u val="none"/>
        <name val="Calibri"/>
        <family val="2"/>
        <scheme val="minor"/>
      </font>
    </dxf>
    <dxf>
      <font>
        <u val="none"/>
        <name val="Calibri"/>
        <family val="2"/>
        <scheme val="minor"/>
      </font>
    </dxf>
    <dxf>
      <font>
        <u val="none"/>
        <name val="Calibri"/>
        <family val="2"/>
        <scheme val="minor"/>
      </font>
    </dxf>
    <dxf>
      <font>
        <u val="none"/>
        <name val="Calibri"/>
        <family val="2"/>
        <scheme val="minor"/>
      </font>
    </dxf>
    <dxf>
      <font>
        <u val="none"/>
        <name val="Calibri"/>
        <family val="2"/>
        <scheme val="minor"/>
      </font>
    </dxf>
    <dxf>
      <font>
        <u val="none"/>
        <name val="Calibri"/>
        <family val="2"/>
        <scheme val="minor"/>
      </font>
    </dxf>
    <dxf>
      <font>
        <u val="none"/>
        <name val="Calibri"/>
        <family val="2"/>
        <scheme val="minor"/>
      </font>
    </dxf>
    <dxf>
      <font>
        <u val="none"/>
        <name val="Calibri"/>
        <family val="2"/>
        <scheme val="minor"/>
      </font>
    </dxf>
    <dxf>
      <font>
        <u val="none"/>
        <name val="Calibri"/>
        <family val="2"/>
        <scheme val="minor"/>
      </font>
    </dxf>
    <dxf>
      <font>
        <u val="none"/>
        <name val="Calibri"/>
        <family val="2"/>
        <scheme val="minor"/>
      </font>
    </dxf>
    <dxf>
      <font>
        <u val="none"/>
        <name val="Calibri"/>
        <family val="2"/>
        <scheme val="minor"/>
      </font>
    </dxf>
    <dxf>
      <font>
        <u val="none"/>
        <name val="Calibri"/>
        <family val="2"/>
        <scheme val="minor"/>
      </font>
    </dxf>
    <dxf>
      <font>
        <u val="none"/>
        <name val="Calibri"/>
        <family val="2"/>
        <scheme val="minor"/>
      </font>
    </dxf>
    <dxf>
      <font>
        <u val="none"/>
        <name val="Calibri"/>
        <family val="2"/>
        <scheme val="minor"/>
      </font>
    </dxf>
    <dxf>
      <font>
        <u val="none"/>
        <name val="Calibri"/>
        <family val="2"/>
        <scheme val="minor"/>
      </font>
    </dxf>
    <dxf>
      <font>
        <u val="none"/>
        <name val="Calibri"/>
        <family val="2"/>
        <scheme val="minor"/>
      </font>
    </dxf>
    <dxf>
      <font>
        <u val="none"/>
        <name val="Calibri"/>
        <family val="2"/>
        <scheme val="minor"/>
      </font>
    </dxf>
    <dxf>
      <font>
        <u val="none"/>
        <name val="Calibri"/>
        <family val="2"/>
        <scheme val="minor"/>
      </font>
    </dxf>
    <dxf>
      <font>
        <u val="none"/>
        <name val="Calibri"/>
        <family val="2"/>
        <scheme val="minor"/>
      </font>
    </dxf>
    <dxf>
      <font>
        <u val="none"/>
        <name val="Calibri"/>
        <family val="2"/>
        <scheme val="minor"/>
      </font>
    </dxf>
    <dxf>
      <font>
        <u val="none"/>
        <name val="Calibri"/>
        <family val="2"/>
        <scheme val="minor"/>
      </font>
    </dxf>
    <dxf>
      <font>
        <u val="none"/>
        <name val="Calibri"/>
        <family val="2"/>
        <scheme val="minor"/>
      </font>
    </dxf>
    <dxf>
      <font>
        <u val="none"/>
        <name val="Calibri"/>
        <family val="2"/>
        <scheme val="minor"/>
      </font>
    </dxf>
    <dxf>
      <font>
        <u val="none"/>
        <name val="Calibri"/>
        <family val="2"/>
        <scheme val="minor"/>
      </font>
    </dxf>
    <dxf>
      <font>
        <u val="none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Importi</c:v>
          </c:tx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Dashboard!$A$15:$A$18</c:f>
              <c:strCache>
                <c:ptCount val="4"/>
                <c:pt idx="0">
                  <c:v>Quote incassate</c:v>
                </c:pt>
                <c:pt idx="1">
                  <c:v>Ricavi patch incassati totali</c:v>
                </c:pt>
                <c:pt idx="2">
                  <c:v>Costo acquisti patch</c:v>
                </c:pt>
                <c:pt idx="3">
                  <c:v>Spese categoria</c:v>
                </c:pt>
              </c:strCache>
            </c:strRef>
          </c:cat>
          <c:val>
            <c:numRef>
              <c:f>Dashboard!$B$15:$B$18</c:f>
              <c:numCache>
                <c:formatCode>\€\ #,##0.00</c:formatCode>
                <c:ptCount val="4"/>
                <c:pt idx="0">
                  <c:v>375</c:v>
                </c:pt>
                <c:pt idx="1">
                  <c:v>663</c:v>
                </c:pt>
                <c:pt idx="2">
                  <c:v>540</c:v>
                </c:pt>
                <c:pt idx="3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BD-DC4A-A591-3FD589EE16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€\ #,##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pieChart>
        <c:varyColors val="1"/>
        <c:ser>
          <c:idx val="0"/>
          <c:order val="0"/>
          <c:tx>
            <c:v>Spese</c:v>
          </c:tx>
          <c:dLbls>
            <c:dLbl>
              <c:idx val="1"/>
              <c:layout>
                <c:manualLayout>
                  <c:x val="0.28812639233651416"/>
                  <c:y val="0.1206814944990728"/>
                </c:manualLayout>
              </c:layout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014-2841-A481-060E450482C4}"/>
                </c:ext>
              </c:extLst>
            </c:dLbl>
            <c:dLbl>
              <c:idx val="2"/>
              <c:layout>
                <c:manualLayout>
                  <c:x val="-0.25050101533304814"/>
                  <c:y val="2.0225948798727285E-3"/>
                </c:manualLayout>
              </c:layout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014-2841-A481-060E450482C4}"/>
                </c:ext>
              </c:extLst>
            </c:dLbl>
            <c:dLbl>
              <c:idx val="3"/>
              <c:layout>
                <c:manualLayout>
                  <c:x val="-0.285957529271399"/>
                  <c:y val="8.2926390074781864E-2"/>
                </c:manualLayout>
              </c:layout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014-2841-A481-060E450482C4}"/>
                </c:ext>
              </c:extLst>
            </c:dLbl>
            <c:dLbl>
              <c:idx val="5"/>
              <c:layout>
                <c:manualLayout>
                  <c:x val="0.25527698104903235"/>
                  <c:y val="3.4384112957836381E-2"/>
                </c:manualLayout>
              </c:layout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014-2841-A481-060E450482C4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Magazzino_Cassa!$H$5:$H$10</c:f>
              <c:strCache>
                <c:ptCount val="6"/>
                <c:pt idx="0">
                  <c:v>Internet/WiFi</c:v>
                </c:pt>
                <c:pt idx="1">
                  <c:v>Pranzo di categoria</c:v>
                </c:pt>
                <c:pt idx="2">
                  <c:v>Materiale ufficio</c:v>
                </c:pt>
                <c:pt idx="3">
                  <c:v>Regali/Lieti eventi</c:v>
                </c:pt>
                <c:pt idx="4">
                  <c:v>Patch/acquisti</c:v>
                </c:pt>
                <c:pt idx="5">
                  <c:v>Altro</c:v>
                </c:pt>
              </c:strCache>
            </c:strRef>
          </c:cat>
          <c:val>
            <c:numRef>
              <c:f>Magazzino_Cassa!$I$5:$I$10</c:f>
              <c:numCache>
                <c:formatCode>\€\ #,##0.00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80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99-6245-9070-FDA878B619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28</xdr:row>
      <xdr:rowOff>0</xdr:rowOff>
    </xdr:from>
    <xdr:to>
      <xdr:col>6</xdr:col>
      <xdr:colOff>0</xdr:colOff>
      <xdr:row>45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12</xdr:row>
      <xdr:rowOff>0</xdr:rowOff>
    </xdr:from>
    <xdr:to>
      <xdr:col>11</xdr:col>
      <xdr:colOff>0</xdr:colOff>
      <xdr:row>28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QuoteTable" displayName="QuoteTable" ref="A3:I18" dataDxfId="63">
  <tableColumns count="9">
    <tableColumn id="1" xr3:uid="{00000000-0010-0000-0000-000001000000}" name="ID" dataDxfId="62"/>
    <tableColumn id="2" xr3:uid="{00000000-0010-0000-0000-000002000000}" name="Nome / Cognome" dataDxfId="61"/>
    <tableColumn id="3" xr3:uid="{00000000-0010-0000-0000-000003000000}" name="Quota dovuta" dataDxfId="60"/>
    <tableColumn id="4" xr3:uid="{00000000-0010-0000-0000-000004000000}" name="Quota pagata" dataDxfId="59"/>
    <tableColumn id="5" xr3:uid="{00000000-0010-0000-0000-000005000000}" name="Saldo" dataDxfId="58">
      <calculatedColumnFormula>D4-C4</calculatedColumnFormula>
    </tableColumn>
    <tableColumn id="6" xr3:uid="{00000000-0010-0000-0000-000006000000}" name="Stato" dataDxfId="57">
      <calculatedColumnFormula>IF(D4&gt;=C4,"Pagata",IF(D4&gt;0,"Parziale","Da pagare"))</calculatedColumnFormula>
    </tableColumn>
    <tableColumn id="7" xr3:uid="{00000000-0010-0000-0000-000007000000}" name="Data pagamento" dataDxfId="56"/>
    <tableColumn id="8" xr3:uid="{00000000-0010-0000-0000-000008000000}" name="Metodo" dataDxfId="55"/>
    <tableColumn id="9" xr3:uid="{00000000-0010-0000-0000-000009000000}" name="Note" dataDxfId="5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AcquistiPatchTable" displayName="AcquistiPatchTable" ref="A3:I203" dataDxfId="53">
  <tableColumns count="9">
    <tableColumn id="1" xr3:uid="{00000000-0010-0000-0100-000001000000}" name="Data" dataDxfId="52"/>
    <tableColumn id="2" xr3:uid="{00000000-0010-0000-0100-000002000000}" name="Fornitore" dataDxfId="51"/>
    <tableColumn id="3" xr3:uid="{00000000-0010-0000-0100-000003000000}" name="Lotto / Descrizione" dataDxfId="50"/>
    <tableColumn id="4" xr3:uid="{00000000-0010-0000-0100-000004000000}" name="Quantità" dataDxfId="49"/>
    <tableColumn id="5" xr3:uid="{00000000-0010-0000-0100-000005000000}" name="Costo unitario" dataDxfId="48"/>
    <tableColumn id="6" xr3:uid="{00000000-0010-0000-0100-000006000000}" name="Costo totale" dataDxfId="47"/>
    <tableColumn id="7" xr3:uid="{00000000-0010-0000-0100-000007000000}" name="Pagato da" dataDxfId="46"/>
    <tableColumn id="8" xr3:uid="{00000000-0010-0000-0100-000008000000}" name="Stato pagamento" dataDxfId="45"/>
    <tableColumn id="9" xr3:uid="{00000000-0010-0000-0100-000009000000}" name="Note" dataDxfId="4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VenditePatchTable" displayName="VenditePatchTable" ref="A3:K303" dataDxfId="43">
  <tableColumns count="11">
    <tableColumn id="1" xr3:uid="{00000000-0010-0000-0200-000001000000}" name="Data" dataDxfId="42"/>
    <tableColumn id="2" xr3:uid="{00000000-0010-0000-0200-000002000000}" name="Acquirente" dataDxfId="41"/>
    <tableColumn id="3" xr3:uid="{00000000-0010-0000-0200-000003000000}" name="Descrizione" dataDxfId="40"/>
    <tableColumn id="4" xr3:uid="{00000000-0010-0000-0200-000004000000}" name="Quantità" dataDxfId="39"/>
    <tableColumn id="5" xr3:uid="{00000000-0010-0000-0200-000005000000}" name="Prezzo unitario" dataDxfId="38"/>
    <tableColumn id="6" xr3:uid="{00000000-0010-0000-0200-000006000000}" name="Ricavo" dataDxfId="37">
      <calculatedColumnFormula>IF(OR(D4="",E4=""),"",D4*E4)</calculatedColumnFormula>
    </tableColumn>
    <tableColumn id="7" xr3:uid="{00000000-0010-0000-0200-000007000000}" name="Costo stimato" dataDxfId="36">
      <calculatedColumnFormula>IF(D4="","",D4*Parametri!$B$6)</calculatedColumnFormula>
    </tableColumn>
    <tableColumn id="8" xr3:uid="{00000000-0010-0000-0200-000008000000}" name="Utile lordo" dataDxfId="35">
      <calculatedColumnFormula>IF(F4="","",F4-G4)</calculatedColumnFormula>
    </tableColumn>
    <tableColumn id="9" xr3:uid="{00000000-0010-0000-0200-000009000000}" name="Incassato?" dataDxfId="34"/>
    <tableColumn id="10" xr3:uid="{00000000-0010-0000-0200-00000A000000}" name="Metodo" dataDxfId="33"/>
    <tableColumn id="11" xr3:uid="{00000000-0010-0000-0200-00000B000000}" name="Note" dataDxfId="3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SpeseCategoriaTable" displayName="SpeseCategoriaTable" ref="A3:H203" dataDxfId="31">
  <tableColumns count="8">
    <tableColumn id="1" xr3:uid="{00000000-0010-0000-0300-000001000000}" name="Data" dataDxfId="30"/>
    <tableColumn id="2" xr3:uid="{00000000-0010-0000-0300-000002000000}" name="Categoria" dataDxfId="29"/>
    <tableColumn id="3" xr3:uid="{00000000-0010-0000-0300-000003000000}" name="Descrizione" dataDxfId="28"/>
    <tableColumn id="4" xr3:uid="{00000000-0010-0000-0300-000004000000}" name="Importo" dataDxfId="27"/>
    <tableColumn id="5" xr3:uid="{00000000-0010-0000-0300-000005000000}" name="Pagato da" dataDxfId="26"/>
    <tableColumn id="6" xr3:uid="{00000000-0010-0000-0300-000006000000}" name="Metodo" dataDxfId="25"/>
    <tableColumn id="7" xr3:uid="{00000000-0010-0000-0300-000007000000}" name="Approvata?" dataDxfId="24"/>
    <tableColumn id="8" xr3:uid="{00000000-0010-0000-0300-000008000000}" name="Note" dataDxfId="2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ellaAffidamentiPatch" displayName="TabellaAffidamentiPatch" ref="A3:J203" totalsRowShown="0">
  <tableColumns count="10">
    <tableColumn id="1" xr3:uid="{00000000-0010-0000-0400-000001000000}" name="Data affidamento"/>
    <tableColumn id="2" xr3:uid="{00000000-0010-0000-0400-000002000000}" name="Venditore"/>
    <tableColumn id="3" xr3:uid="{00000000-0010-0000-0400-000003000000}" name="Quantità affidata"/>
    <tableColumn id="4" xr3:uid="{00000000-0010-0000-0400-000004000000}" name="Quantità venduta"/>
    <tableColumn id="5" xr3:uid="{00000000-0010-0000-0400-000005000000}" name="Quantità restituita"/>
    <tableColumn id="6" xr3:uid="{00000000-0010-0000-0400-000006000000}" name="Patch ancora affidate"/>
    <tableColumn id="7" xr3:uid="{00000000-0010-0000-0400-000007000000}" name="Incasso vendite"/>
    <tableColumn id="8" xr3:uid="{00000000-0010-0000-0400-000008000000}" name="Versato in cassa"/>
    <tableColumn id="9" xr3:uid="{00000000-0010-0000-0400-000009000000}" name="Denaro da versare"/>
    <tableColumn id="10" xr3:uid="{00000000-0010-0000-0400-00000A000000}" name="Stato / Not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ellaVenditoriAffidatari" displayName="TabellaVenditoriAffidatari" ref="A3:C103" totalsRowShown="0" dataDxfId="0">
  <tableColumns count="3">
    <tableColumn id="1" xr3:uid="{00000000-0010-0000-0500-000001000000}" name="Tipo" dataDxfId="3"/>
    <tableColumn id="2" xr3:uid="{00000000-0010-0000-0500-000002000000}" name="Nome / Cognome" dataDxfId="2"/>
    <tableColumn id="3" xr3:uid="{00000000-0010-0000-0500-000003000000}" name="Not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"/>
  <sheetViews>
    <sheetView topLeftCell="A13" zoomScale="150" workbookViewId="0">
      <selection activeCell="A4" sqref="A4:C6"/>
    </sheetView>
  </sheetViews>
  <sheetFormatPr baseColWidth="10" defaultColWidth="8.83203125" defaultRowHeight="15"/>
  <cols>
    <col min="1" max="1" width="20" style="1" customWidth="1"/>
    <col min="2" max="2" width="18" style="1" customWidth="1"/>
    <col min="3" max="3" width="6" style="1" customWidth="1"/>
    <col min="4" max="4" width="19.6640625" style="1" customWidth="1"/>
    <col min="5" max="6" width="18" style="1" customWidth="1"/>
    <col min="7" max="7" width="19.83203125" style="1" customWidth="1"/>
    <col min="8" max="8" width="6.33203125" style="1" customWidth="1"/>
    <col min="9" max="9" width="5.33203125" style="1" customWidth="1"/>
    <col min="10" max="10" width="23.5" style="1" customWidth="1"/>
    <col min="11" max="12" width="18" style="1" customWidth="1"/>
    <col min="13" max="16384" width="8.83203125" style="1"/>
  </cols>
  <sheetData>
    <row r="1" spans="1:12" ht="49.75" customHeight="1">
      <c r="A1" s="30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</row>
    <row r="2" spans="1:12" ht="26.75" customHeight="1">
      <c r="A2" s="32" t="s">
        <v>1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</row>
    <row r="3" spans="1:12" ht="42.75" customHeight="1"/>
    <row r="4" spans="1:12" ht="26.75" customHeight="1">
      <c r="A4" s="33" t="s">
        <v>2</v>
      </c>
      <c r="B4" s="31"/>
      <c r="C4" s="31"/>
      <c r="D4" s="33" t="s">
        <v>3</v>
      </c>
      <c r="E4" s="31"/>
      <c r="F4" s="31"/>
      <c r="G4" s="33" t="s">
        <v>4</v>
      </c>
      <c r="H4" s="31"/>
      <c r="I4" s="31"/>
      <c r="J4" s="33" t="s">
        <v>5</v>
      </c>
      <c r="K4" s="31"/>
      <c r="L4" s="31"/>
    </row>
    <row r="5" spans="1:12" ht="34" customHeight="1">
      <c r="A5" s="34">
        <f>Magazzino_Cassa!B16</f>
        <v>418</v>
      </c>
      <c r="B5" s="31"/>
      <c r="C5" s="31"/>
      <c r="D5" s="34">
        <f>Magazzino_Cassa!B6</f>
        <v>375</v>
      </c>
      <c r="E5" s="31"/>
      <c r="F5" s="31"/>
      <c r="G5" s="35">
        <f>Magazzino_Cassa!B14</f>
        <v>120</v>
      </c>
      <c r="H5" s="31"/>
      <c r="I5" s="31"/>
      <c r="J5" s="34">
        <f>Magazzino_Cassa!B12</f>
        <v>663</v>
      </c>
      <c r="K5" s="31"/>
      <c r="L5" s="31"/>
    </row>
    <row r="6" spans="1:12">
      <c r="A6" s="31"/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</row>
    <row r="8" spans="1:12" ht="26.75" customHeight="1">
      <c r="A8" s="33" t="s">
        <v>6</v>
      </c>
      <c r="B8" s="31"/>
      <c r="C8" s="31"/>
      <c r="D8" s="33" t="s">
        <v>7</v>
      </c>
      <c r="E8" s="31"/>
      <c r="F8" s="31"/>
      <c r="G8" s="33" t="s">
        <v>8</v>
      </c>
      <c r="H8" s="31"/>
      <c r="I8" s="31"/>
      <c r="J8" s="33" t="s">
        <v>9</v>
      </c>
      <c r="K8" s="31"/>
      <c r="L8" s="31"/>
    </row>
    <row r="9" spans="1:12" ht="34" customHeight="1">
      <c r="A9" s="34">
        <f>Magazzino_Cassa!B15</f>
        <v>80</v>
      </c>
      <c r="B9" s="31"/>
      <c r="C9" s="31"/>
      <c r="D9" s="34">
        <f>Magazzino_Cassa!B13</f>
        <v>522.60000000000014</v>
      </c>
      <c r="E9" s="31"/>
      <c r="F9" s="31"/>
      <c r="G9" s="37" t="str">
        <f>Magazzino_Cassa!B8&amp;"/"&amp;Parametri!B4</f>
        <v>15/15</v>
      </c>
      <c r="H9" s="31"/>
      <c r="I9" s="31"/>
      <c r="J9" s="34">
        <f>Parametri!B9</f>
        <v>12.3</v>
      </c>
      <c r="K9" s="31"/>
      <c r="L9" s="31"/>
    </row>
    <row r="10" spans="1:12">
      <c r="A10" s="31"/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</row>
    <row r="13" spans="1:12" ht="26.75" customHeight="1">
      <c r="A13" s="36" t="s">
        <v>10</v>
      </c>
      <c r="B13" s="31"/>
      <c r="C13" s="31"/>
      <c r="D13" s="31"/>
      <c r="E13" s="31"/>
      <c r="F13" s="31"/>
      <c r="G13" s="36" t="s">
        <v>11</v>
      </c>
      <c r="H13" s="31"/>
      <c r="I13" s="31"/>
      <c r="J13" s="31"/>
      <c r="K13" s="31"/>
      <c r="L13" s="31"/>
    </row>
    <row r="14" spans="1:12" ht="26.75" customHeight="1">
      <c r="A14" s="2" t="s">
        <v>12</v>
      </c>
      <c r="B14" s="2" t="s">
        <v>13</v>
      </c>
      <c r="C14" s="2" t="s">
        <v>14</v>
      </c>
      <c r="D14" s="2" t="s">
        <v>15</v>
      </c>
      <c r="G14" s="2" t="s">
        <v>12</v>
      </c>
      <c r="H14" s="2" t="s">
        <v>16</v>
      </c>
      <c r="I14" s="2" t="s">
        <v>17</v>
      </c>
      <c r="J14" s="2" t="s">
        <v>15</v>
      </c>
    </row>
    <row r="15" spans="1:12" ht="42.75" customHeight="1">
      <c r="A15" s="3" t="s">
        <v>3</v>
      </c>
      <c r="B15" s="4">
        <f>Magazzino_Cassa!B6</f>
        <v>375</v>
      </c>
      <c r="C15" s="3" t="s">
        <v>18</v>
      </c>
      <c r="D15" s="3" t="s">
        <v>19</v>
      </c>
      <c r="G15" s="3" t="s">
        <v>20</v>
      </c>
      <c r="H15" s="5">
        <f>Magazzino_Cassa!B9</f>
        <v>200</v>
      </c>
      <c r="I15" s="3" t="s">
        <v>21</v>
      </c>
      <c r="J15" s="3" t="s">
        <v>22</v>
      </c>
    </row>
    <row r="16" spans="1:12" ht="42.75" customHeight="1">
      <c r="A16" s="3" t="s">
        <v>5</v>
      </c>
      <c r="B16" s="4">
        <f>Magazzino_Cassa!B12</f>
        <v>663</v>
      </c>
      <c r="C16" s="3" t="s">
        <v>18</v>
      </c>
      <c r="D16" s="3" t="s">
        <v>23</v>
      </c>
      <c r="G16" s="3" t="s">
        <v>24</v>
      </c>
      <c r="H16" s="5">
        <f>Magazzino_Cassa!B11</f>
        <v>80</v>
      </c>
      <c r="I16" s="3" t="s">
        <v>21</v>
      </c>
      <c r="J16" s="3" t="s">
        <v>25</v>
      </c>
    </row>
    <row r="17" spans="1:12" ht="42.75" customHeight="1">
      <c r="A17" s="3" t="s">
        <v>26</v>
      </c>
      <c r="B17" s="4">
        <f>Magazzino_Cassa!B10</f>
        <v>540</v>
      </c>
      <c r="C17" s="3" t="s">
        <v>27</v>
      </c>
      <c r="D17" s="3" t="s">
        <v>28</v>
      </c>
      <c r="G17" s="3" t="s">
        <v>4</v>
      </c>
      <c r="H17" s="5">
        <f>Magazzino_Cassa!B14</f>
        <v>120</v>
      </c>
      <c r="I17" s="3" t="s">
        <v>21</v>
      </c>
      <c r="J17" s="3" t="s">
        <v>29</v>
      </c>
    </row>
    <row r="18" spans="1:12" ht="42.75" customHeight="1">
      <c r="A18" s="3" t="s">
        <v>6</v>
      </c>
      <c r="B18" s="4">
        <f>Magazzino_Cassa!B15</f>
        <v>80</v>
      </c>
      <c r="C18" s="3" t="s">
        <v>27</v>
      </c>
      <c r="D18" s="3" t="s">
        <v>30</v>
      </c>
      <c r="G18" s="3" t="s">
        <v>31</v>
      </c>
      <c r="H18" s="5">
        <f>Magazzino_Cassa!B21</f>
        <v>36</v>
      </c>
      <c r="I18" s="3" t="s">
        <v>21</v>
      </c>
      <c r="J18" s="3" t="s">
        <v>32</v>
      </c>
    </row>
    <row r="19" spans="1:12" ht="42.75" customHeight="1">
      <c r="A19" s="6" t="s">
        <v>33</v>
      </c>
      <c r="B19" s="7">
        <f>Magazzino_Cassa!B16</f>
        <v>418</v>
      </c>
      <c r="C19" s="6" t="s">
        <v>34</v>
      </c>
      <c r="D19" s="6" t="s">
        <v>35</v>
      </c>
      <c r="G19" s="3" t="s">
        <v>9</v>
      </c>
      <c r="H19" s="4">
        <f>Parametri!B9</f>
        <v>12.3</v>
      </c>
      <c r="I19" s="3" t="s">
        <v>36</v>
      </c>
      <c r="J19" s="3" t="s">
        <v>37</v>
      </c>
    </row>
    <row r="20" spans="1:12" ht="30">
      <c r="A20" s="3" t="s">
        <v>38</v>
      </c>
      <c r="B20" s="4">
        <f>Magazzino_Cassa!B17</f>
        <v>395</v>
      </c>
      <c r="C20" s="3" t="s">
        <v>18</v>
      </c>
      <c r="D20" s="3" t="s">
        <v>39</v>
      </c>
      <c r="G20" s="3" t="s">
        <v>40</v>
      </c>
      <c r="H20" s="5">
        <f>Magazzino_Cassa!B24</f>
        <v>45</v>
      </c>
      <c r="I20" s="3" t="s">
        <v>21</v>
      </c>
      <c r="J20" s="3" t="s">
        <v>41</v>
      </c>
    </row>
    <row r="21" spans="1:12" ht="30">
      <c r="A21" s="3" t="s">
        <v>42</v>
      </c>
      <c r="B21" s="4">
        <f>Magazzino_Cassa!B18</f>
        <v>168</v>
      </c>
      <c r="C21" s="3" t="s">
        <v>18</v>
      </c>
      <c r="D21" s="3" t="s">
        <v>43</v>
      </c>
      <c r="G21" s="3" t="s">
        <v>44</v>
      </c>
      <c r="H21" s="4">
        <f>Parametri!B12</f>
        <v>9.3000000000000007</v>
      </c>
      <c r="I21" s="3" t="s">
        <v>36</v>
      </c>
      <c r="J21" s="3" t="s">
        <v>45</v>
      </c>
    </row>
    <row r="23" spans="1:12" ht="26.75" customHeight="1">
      <c r="A23" s="36" t="s">
        <v>46</v>
      </c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</row>
    <row r="24" spans="1:12" ht="85.25" customHeight="1">
      <c r="A24" s="6" t="s">
        <v>47</v>
      </c>
      <c r="B24" s="3" t="s">
        <v>48</v>
      </c>
    </row>
    <row r="25" spans="1:12" ht="106.75" customHeight="1">
      <c r="A25" s="6" t="s">
        <v>49</v>
      </c>
      <c r="B25" s="3" t="s">
        <v>50</v>
      </c>
    </row>
    <row r="26" spans="1:12" ht="128" customHeight="1">
      <c r="A26" s="6" t="s">
        <v>51</v>
      </c>
      <c r="B26" s="3" t="s">
        <v>52</v>
      </c>
    </row>
  </sheetData>
  <mergeCells count="13">
    <mergeCell ref="A23:L23"/>
    <mergeCell ref="A8:C10"/>
    <mergeCell ref="D8:F10"/>
    <mergeCell ref="G8:I10"/>
    <mergeCell ref="J8:L10"/>
    <mergeCell ref="A13:F13"/>
    <mergeCell ref="G13:L13"/>
    <mergeCell ref="A1:L1"/>
    <mergeCell ref="A2:L2"/>
    <mergeCell ref="A4:C6"/>
    <mergeCell ref="D4:F6"/>
    <mergeCell ref="G4:I6"/>
    <mergeCell ref="J4:L6"/>
  </mergeCells>
  <conditionalFormatting sqref="B19">
    <cfRule type="expression" dxfId="22" priority="1">
      <formula>B19&lt;0</formula>
    </cfRule>
    <cfRule type="expression" dxfId="21" priority="2">
      <formula>B19&gt;=0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zoomScale="159" workbookViewId="0">
      <selection sqref="A1:F1"/>
    </sheetView>
  </sheetViews>
  <sheetFormatPr baseColWidth="10" defaultColWidth="8.83203125" defaultRowHeight="15"/>
  <cols>
    <col min="1" max="1" width="10" style="1" customWidth="1"/>
    <col min="2" max="2" width="28" style="1" customWidth="1"/>
    <col min="3" max="3" width="78" style="1" customWidth="1"/>
    <col min="4" max="16384" width="8.83203125" style="1"/>
  </cols>
  <sheetData>
    <row r="1" spans="1:6" ht="49.75" customHeight="1">
      <c r="A1" s="30" t="s">
        <v>53</v>
      </c>
      <c r="B1" s="31"/>
      <c r="C1" s="31"/>
      <c r="D1" s="31"/>
      <c r="E1" s="31"/>
      <c r="F1" s="31"/>
    </row>
    <row r="3" spans="1:6" ht="42.75" customHeight="1">
      <c r="A3" s="2" t="s">
        <v>54</v>
      </c>
      <c r="B3" s="2" t="s">
        <v>55</v>
      </c>
      <c r="C3" s="2" t="s">
        <v>56</v>
      </c>
    </row>
    <row r="4" spans="1:6" ht="26.75" customHeight="1">
      <c r="A4" s="3" t="s">
        <v>57</v>
      </c>
      <c r="B4" s="3" t="s">
        <v>58</v>
      </c>
      <c r="C4" s="3" t="s">
        <v>59</v>
      </c>
    </row>
    <row r="5" spans="1:6" ht="26.75" customHeight="1">
      <c r="A5" s="3" t="s">
        <v>60</v>
      </c>
      <c r="B5" s="3" t="s">
        <v>61</v>
      </c>
      <c r="C5" s="3" t="s">
        <v>62</v>
      </c>
    </row>
    <row r="6" spans="1:6" ht="26.75" customHeight="1">
      <c r="A6" s="3" t="s">
        <v>63</v>
      </c>
      <c r="B6" s="3" t="s">
        <v>64</v>
      </c>
      <c r="C6" s="3" t="s">
        <v>65</v>
      </c>
    </row>
    <row r="7" spans="1:6" ht="26.75" customHeight="1">
      <c r="A7" s="3" t="s">
        <v>66</v>
      </c>
      <c r="B7" s="3" t="s">
        <v>67</v>
      </c>
      <c r="C7" s="3" t="s">
        <v>68</v>
      </c>
    </row>
    <row r="8" spans="1:6" ht="26.75" customHeight="1">
      <c r="A8" s="3" t="s">
        <v>66</v>
      </c>
      <c r="B8" s="3" t="s">
        <v>67</v>
      </c>
      <c r="C8" s="3" t="s">
        <v>201</v>
      </c>
    </row>
    <row r="9" spans="1:6" ht="26.75" customHeight="1">
      <c r="A9" s="3" t="s">
        <v>202</v>
      </c>
      <c r="B9" s="3" t="s">
        <v>69</v>
      </c>
      <c r="C9" s="3" t="s">
        <v>70</v>
      </c>
    </row>
    <row r="10" spans="1:6" ht="26.75" customHeight="1">
      <c r="A10" s="3" t="s">
        <v>203</v>
      </c>
      <c r="B10" s="3" t="s">
        <v>69</v>
      </c>
      <c r="C10" s="3" t="s">
        <v>70</v>
      </c>
    </row>
    <row r="11" spans="1:6" ht="16">
      <c r="A11" s="28" t="s">
        <v>204</v>
      </c>
      <c r="B11" s="28" t="s">
        <v>69</v>
      </c>
      <c r="C11" s="28" t="s">
        <v>70</v>
      </c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2"/>
  <sheetViews>
    <sheetView zoomScale="161" workbookViewId="0">
      <selection sqref="A1:D1"/>
    </sheetView>
  </sheetViews>
  <sheetFormatPr baseColWidth="10" defaultColWidth="8.83203125" defaultRowHeight="15"/>
  <cols>
    <col min="1" max="1" width="25.1640625" style="1" customWidth="1"/>
    <col min="2" max="2" width="6.33203125" style="1" customWidth="1"/>
    <col min="3" max="3" width="6.5" style="1" customWidth="1"/>
    <col min="4" max="4" width="40.6640625" style="1" customWidth="1"/>
    <col min="5" max="16384" width="8.83203125" style="1"/>
  </cols>
  <sheetData>
    <row r="1" spans="1:4" ht="49.75" customHeight="1">
      <c r="A1" s="30" t="s">
        <v>71</v>
      </c>
      <c r="B1" s="31"/>
      <c r="C1" s="31"/>
      <c r="D1" s="31"/>
    </row>
    <row r="3" spans="1:4" ht="42.75" customHeight="1">
      <c r="A3" s="2" t="s">
        <v>12</v>
      </c>
      <c r="B3" s="2" t="s">
        <v>16</v>
      </c>
      <c r="C3" s="2" t="s">
        <v>17</v>
      </c>
      <c r="D3" s="2" t="s">
        <v>15</v>
      </c>
    </row>
    <row r="4" spans="1:4" ht="26.75" customHeight="1">
      <c r="A4" s="3" t="s">
        <v>72</v>
      </c>
      <c r="B4" s="5">
        <v>15</v>
      </c>
      <c r="C4" s="3" t="s">
        <v>73</v>
      </c>
      <c r="D4" s="3" t="s">
        <v>74</v>
      </c>
    </row>
    <row r="5" spans="1:4" ht="26.75" customHeight="1">
      <c r="A5" s="3" t="s">
        <v>75</v>
      </c>
      <c r="B5" s="4">
        <v>25</v>
      </c>
      <c r="C5" s="3" t="s">
        <v>36</v>
      </c>
      <c r="D5" s="3" t="s">
        <v>76</v>
      </c>
    </row>
    <row r="6" spans="1:4" ht="26.75" customHeight="1">
      <c r="A6" s="3" t="s">
        <v>77</v>
      </c>
      <c r="B6" s="4">
        <v>2.7</v>
      </c>
      <c r="C6" s="3" t="s">
        <v>36</v>
      </c>
      <c r="D6" s="3" t="s">
        <v>78</v>
      </c>
    </row>
    <row r="7" spans="1:4" ht="26.75" customHeight="1">
      <c r="A7" s="3" t="s">
        <v>79</v>
      </c>
      <c r="B7" s="4">
        <v>15</v>
      </c>
      <c r="C7" s="3" t="s">
        <v>36</v>
      </c>
      <c r="D7" s="3" t="s">
        <v>80</v>
      </c>
    </row>
    <row r="8" spans="1:4" ht="26.75" customHeight="1">
      <c r="A8" s="3" t="s">
        <v>81</v>
      </c>
      <c r="B8" s="4">
        <v>12</v>
      </c>
      <c r="C8" s="3" t="s">
        <v>36</v>
      </c>
      <c r="D8" s="3" t="s">
        <v>82</v>
      </c>
    </row>
    <row r="9" spans="1:4" ht="26.75" customHeight="1">
      <c r="A9" s="3" t="s">
        <v>83</v>
      </c>
      <c r="B9" s="4">
        <f>B7-B6</f>
        <v>12.3</v>
      </c>
      <c r="C9" s="3" t="s">
        <v>36</v>
      </c>
      <c r="D9" s="3" t="s">
        <v>84</v>
      </c>
    </row>
    <row r="10" spans="1:4" ht="26.75" customHeight="1">
      <c r="A10" s="3" t="s">
        <v>85</v>
      </c>
      <c r="B10" s="4">
        <v>0</v>
      </c>
      <c r="C10" s="3" t="s">
        <v>36</v>
      </c>
      <c r="D10" s="3" t="s">
        <v>86</v>
      </c>
    </row>
    <row r="11" spans="1:4" ht="26.75" customHeight="1">
      <c r="A11" s="3" t="s">
        <v>87</v>
      </c>
      <c r="B11" s="4">
        <v>0</v>
      </c>
      <c r="C11" s="3" t="s">
        <v>36</v>
      </c>
      <c r="D11" s="3" t="s">
        <v>88</v>
      </c>
    </row>
    <row r="12" spans="1:4">
      <c r="A12" s="3" t="s">
        <v>89</v>
      </c>
      <c r="B12" s="4">
        <f>B8-B6</f>
        <v>9.3000000000000007</v>
      </c>
      <c r="C12" s="3" t="s">
        <v>36</v>
      </c>
      <c r="D12" s="3" t="s">
        <v>90</v>
      </c>
    </row>
  </sheetData>
  <mergeCells count="1"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8"/>
  <sheetViews>
    <sheetView zoomScale="135" workbookViewId="0">
      <selection activeCell="B6" sqref="B6"/>
    </sheetView>
  </sheetViews>
  <sheetFormatPr baseColWidth="10" defaultColWidth="8.83203125" defaultRowHeight="15"/>
  <cols>
    <col min="1" max="1" width="5.83203125" style="1" customWidth="1"/>
    <col min="2" max="2" width="28" style="1" customWidth="1"/>
    <col min="3" max="4" width="15" style="1" customWidth="1"/>
    <col min="5" max="6" width="14" style="1" customWidth="1"/>
    <col min="7" max="8" width="16" style="1" customWidth="1"/>
    <col min="9" max="9" width="36" style="1" customWidth="1"/>
    <col min="10" max="10" width="10.1640625" style="1" customWidth="1"/>
    <col min="11" max="16384" width="8.83203125" style="1"/>
  </cols>
  <sheetData>
    <row r="1" spans="1:10" ht="49.75" customHeight="1">
      <c r="A1" s="30" t="s">
        <v>91</v>
      </c>
      <c r="B1" s="31"/>
      <c r="C1" s="31"/>
      <c r="D1" s="31"/>
      <c r="E1" s="31"/>
      <c r="F1" s="31"/>
      <c r="G1" s="31"/>
      <c r="H1" s="31"/>
      <c r="I1" s="31"/>
    </row>
    <row r="3" spans="1:10" ht="42.75" customHeight="1">
      <c r="A3" s="2" t="s">
        <v>92</v>
      </c>
      <c r="B3" s="2" t="s">
        <v>93</v>
      </c>
      <c r="C3" s="2" t="s">
        <v>94</v>
      </c>
      <c r="D3" s="2" t="s">
        <v>95</v>
      </c>
      <c r="E3" s="2" t="s">
        <v>34</v>
      </c>
      <c r="F3" s="2" t="s">
        <v>96</v>
      </c>
      <c r="G3" s="2" t="s">
        <v>97</v>
      </c>
      <c r="H3" s="2" t="s">
        <v>98</v>
      </c>
      <c r="I3" s="2" t="s">
        <v>15</v>
      </c>
      <c r="J3" s="2" t="s">
        <v>99</v>
      </c>
    </row>
    <row r="4" spans="1:10" ht="30">
      <c r="A4" s="3">
        <v>1</v>
      </c>
      <c r="B4" s="3" t="s">
        <v>100</v>
      </c>
      <c r="C4" s="4">
        <f>Parametri!$B$5</f>
        <v>25</v>
      </c>
      <c r="D4" s="4">
        <v>25</v>
      </c>
      <c r="E4" s="4">
        <f>D4-C4</f>
        <v>0</v>
      </c>
      <c r="F4" s="3" t="str">
        <f>IF(D4&gt;=C4,"Pagata",IF(D4&gt;0,"Parziale","Da pagare"))</f>
        <v>Pagata</v>
      </c>
      <c r="G4" s="8" t="s">
        <v>101</v>
      </c>
      <c r="H4" s="3" t="s">
        <v>102</v>
      </c>
      <c r="I4" s="3" t="s">
        <v>103</v>
      </c>
      <c r="J4" s="4">
        <v>0</v>
      </c>
    </row>
    <row r="5" spans="1:10">
      <c r="A5" s="3">
        <v>2</v>
      </c>
      <c r="B5" s="3" t="s">
        <v>104</v>
      </c>
      <c r="C5" s="4">
        <f>Parametri!$B$5</f>
        <v>25</v>
      </c>
      <c r="D5" s="4">
        <v>25</v>
      </c>
      <c r="E5" s="4">
        <f t="shared" ref="E5:E18" si="0">D5-C5</f>
        <v>0</v>
      </c>
      <c r="F5" s="3" t="str">
        <f t="shared" ref="F5:F18" si="1">IF(D5&gt;=C5,"Pagata",IF(D5&gt;0,"Parziale","Da pagare"))</f>
        <v>Pagata</v>
      </c>
      <c r="G5" s="8" t="s">
        <v>101</v>
      </c>
      <c r="H5" s="3" t="s">
        <v>105</v>
      </c>
      <c r="I5" s="3"/>
    </row>
    <row r="6" spans="1:10">
      <c r="A6" s="3">
        <v>3</v>
      </c>
      <c r="B6" s="3" t="s">
        <v>106</v>
      </c>
      <c r="C6" s="4">
        <f>Parametri!$B$5</f>
        <v>25</v>
      </c>
      <c r="D6" s="4">
        <v>25</v>
      </c>
      <c r="E6" s="4">
        <f t="shared" si="0"/>
        <v>0</v>
      </c>
      <c r="F6" s="3" t="str">
        <f t="shared" si="1"/>
        <v>Pagata</v>
      </c>
      <c r="G6" s="8" t="s">
        <v>107</v>
      </c>
      <c r="H6" s="3" t="s">
        <v>105</v>
      </c>
      <c r="I6" s="3"/>
    </row>
    <row r="7" spans="1:10">
      <c r="A7" s="3">
        <v>4</v>
      </c>
      <c r="B7" s="3" t="s">
        <v>108</v>
      </c>
      <c r="C7" s="4">
        <f>Parametri!$B$5</f>
        <v>25</v>
      </c>
      <c r="D7" s="4">
        <v>25</v>
      </c>
      <c r="E7" s="4">
        <f t="shared" si="0"/>
        <v>0</v>
      </c>
      <c r="F7" s="3" t="str">
        <f t="shared" si="1"/>
        <v>Pagata</v>
      </c>
      <c r="G7" s="8" t="s">
        <v>101</v>
      </c>
      <c r="H7" s="3" t="s">
        <v>105</v>
      </c>
      <c r="I7" s="3"/>
    </row>
    <row r="8" spans="1:10">
      <c r="A8" s="3">
        <v>5</v>
      </c>
      <c r="B8" s="3" t="s">
        <v>109</v>
      </c>
      <c r="C8" s="4">
        <f>Parametri!$B$5</f>
        <v>25</v>
      </c>
      <c r="D8" s="4">
        <v>25</v>
      </c>
      <c r="E8" s="4">
        <f t="shared" si="0"/>
        <v>0</v>
      </c>
      <c r="F8" s="3" t="str">
        <f t="shared" si="1"/>
        <v>Pagata</v>
      </c>
      <c r="G8" s="8" t="s">
        <v>101</v>
      </c>
      <c r="H8" s="3" t="s">
        <v>105</v>
      </c>
      <c r="I8" s="3"/>
    </row>
    <row r="9" spans="1:10">
      <c r="A9" s="3">
        <v>6</v>
      </c>
      <c r="B9" s="3" t="s">
        <v>110</v>
      </c>
      <c r="C9" s="4">
        <f>Parametri!$B$5</f>
        <v>25</v>
      </c>
      <c r="D9" s="4">
        <v>25</v>
      </c>
      <c r="E9" s="4">
        <f t="shared" si="0"/>
        <v>0</v>
      </c>
      <c r="F9" s="3" t="str">
        <f t="shared" si="1"/>
        <v>Pagata</v>
      </c>
      <c r="G9" s="8" t="s">
        <v>111</v>
      </c>
      <c r="H9" s="3" t="s">
        <v>105</v>
      </c>
      <c r="I9" s="3"/>
    </row>
    <row r="10" spans="1:10">
      <c r="A10" s="3">
        <v>7</v>
      </c>
      <c r="B10" s="3" t="s">
        <v>112</v>
      </c>
      <c r="C10" s="4">
        <f>Parametri!$B$5</f>
        <v>25</v>
      </c>
      <c r="D10" s="4">
        <v>25</v>
      </c>
      <c r="E10" s="4">
        <f t="shared" si="0"/>
        <v>0</v>
      </c>
      <c r="F10" s="3" t="str">
        <f t="shared" si="1"/>
        <v>Pagata</v>
      </c>
      <c r="G10" s="8" t="s">
        <v>101</v>
      </c>
      <c r="H10" s="3" t="s">
        <v>105</v>
      </c>
      <c r="I10" s="3"/>
    </row>
    <row r="11" spans="1:10">
      <c r="A11" s="3">
        <v>8</v>
      </c>
      <c r="B11" s="3" t="s">
        <v>113</v>
      </c>
      <c r="C11" s="4">
        <f>Parametri!$B$5</f>
        <v>25</v>
      </c>
      <c r="D11" s="4">
        <v>25</v>
      </c>
      <c r="E11" s="4">
        <f t="shared" si="0"/>
        <v>0</v>
      </c>
      <c r="F11" s="3" t="str">
        <f t="shared" si="1"/>
        <v>Pagata</v>
      </c>
      <c r="G11" s="8" t="s">
        <v>114</v>
      </c>
      <c r="H11" s="3" t="s">
        <v>105</v>
      </c>
      <c r="I11" s="3"/>
    </row>
    <row r="12" spans="1:10">
      <c r="A12" s="3">
        <v>9</v>
      </c>
      <c r="B12" s="3" t="s">
        <v>115</v>
      </c>
      <c r="C12" s="4">
        <f>Parametri!$B$5</f>
        <v>25</v>
      </c>
      <c r="D12" s="4">
        <v>25</v>
      </c>
      <c r="E12" s="4">
        <f t="shared" si="0"/>
        <v>0</v>
      </c>
      <c r="F12" s="3" t="str">
        <f t="shared" si="1"/>
        <v>Pagata</v>
      </c>
      <c r="G12" s="8" t="s">
        <v>101</v>
      </c>
      <c r="H12" s="3" t="s">
        <v>105</v>
      </c>
      <c r="I12" s="3"/>
    </row>
    <row r="13" spans="1:10">
      <c r="A13" s="3">
        <v>10</v>
      </c>
      <c r="B13" s="3" t="s">
        <v>116</v>
      </c>
      <c r="C13" s="4">
        <f>Parametri!$B$5</f>
        <v>25</v>
      </c>
      <c r="D13" s="4">
        <v>25</v>
      </c>
      <c r="E13" s="4">
        <f t="shared" si="0"/>
        <v>0</v>
      </c>
      <c r="F13" s="3" t="str">
        <f t="shared" si="1"/>
        <v>Pagata</v>
      </c>
      <c r="G13" s="8" t="s">
        <v>101</v>
      </c>
      <c r="H13" s="3" t="s">
        <v>105</v>
      </c>
      <c r="I13" s="3"/>
    </row>
    <row r="14" spans="1:10">
      <c r="A14" s="3">
        <v>11</v>
      </c>
      <c r="B14" s="3" t="s">
        <v>117</v>
      </c>
      <c r="C14" s="4">
        <f>Parametri!$B$5</f>
        <v>25</v>
      </c>
      <c r="D14" s="4">
        <v>25</v>
      </c>
      <c r="E14" s="4">
        <f t="shared" si="0"/>
        <v>0</v>
      </c>
      <c r="F14" s="3" t="str">
        <f t="shared" si="1"/>
        <v>Pagata</v>
      </c>
      <c r="G14" s="8" t="s">
        <v>101</v>
      </c>
      <c r="H14" s="3" t="s">
        <v>105</v>
      </c>
      <c r="I14" s="3"/>
    </row>
    <row r="15" spans="1:10">
      <c r="A15" s="3">
        <v>12</v>
      </c>
      <c r="B15" s="3" t="s">
        <v>118</v>
      </c>
      <c r="C15" s="4">
        <f>Parametri!$B$5</f>
        <v>25</v>
      </c>
      <c r="D15" s="4">
        <v>25</v>
      </c>
      <c r="E15" s="4">
        <f t="shared" si="0"/>
        <v>0</v>
      </c>
      <c r="F15" s="3" t="str">
        <f t="shared" si="1"/>
        <v>Pagata</v>
      </c>
      <c r="G15" s="8" t="s">
        <v>101</v>
      </c>
      <c r="H15" s="3" t="s">
        <v>105</v>
      </c>
      <c r="I15" s="3"/>
    </row>
    <row r="16" spans="1:10">
      <c r="A16" s="3">
        <v>13</v>
      </c>
      <c r="B16" s="3" t="s">
        <v>119</v>
      </c>
      <c r="C16" s="4">
        <f>Parametri!$B$5</f>
        <v>25</v>
      </c>
      <c r="D16" s="4">
        <v>25</v>
      </c>
      <c r="E16" s="4">
        <f t="shared" si="0"/>
        <v>0</v>
      </c>
      <c r="F16" s="3" t="str">
        <f t="shared" si="1"/>
        <v>Pagata</v>
      </c>
      <c r="G16" s="8" t="s">
        <v>120</v>
      </c>
      <c r="H16" s="3" t="s">
        <v>102</v>
      </c>
      <c r="I16" s="3"/>
    </row>
    <row r="17" spans="1:9">
      <c r="A17" s="3">
        <v>14</v>
      </c>
      <c r="B17" s="3" t="s">
        <v>121</v>
      </c>
      <c r="C17" s="4">
        <f>Parametri!$B$5</f>
        <v>25</v>
      </c>
      <c r="D17" s="4">
        <v>25</v>
      </c>
      <c r="E17" s="4">
        <f t="shared" si="0"/>
        <v>0</v>
      </c>
      <c r="F17" s="3" t="str">
        <f t="shared" si="1"/>
        <v>Pagata</v>
      </c>
      <c r="G17" s="8" t="s">
        <v>122</v>
      </c>
      <c r="H17" s="3" t="s">
        <v>105</v>
      </c>
      <c r="I17" s="3"/>
    </row>
    <row r="18" spans="1:9">
      <c r="A18" s="3">
        <v>15</v>
      </c>
      <c r="B18" s="3" t="s">
        <v>123</v>
      </c>
      <c r="C18" s="4">
        <f>Parametri!$B$5</f>
        <v>25</v>
      </c>
      <c r="D18" s="4">
        <v>25</v>
      </c>
      <c r="E18" s="4">
        <f t="shared" si="0"/>
        <v>0</v>
      </c>
      <c r="F18" s="3" t="str">
        <f t="shared" si="1"/>
        <v>Pagata</v>
      </c>
      <c r="G18" s="8" t="s">
        <v>120</v>
      </c>
      <c r="H18" s="3" t="s">
        <v>105</v>
      </c>
      <c r="I18" s="3"/>
    </row>
  </sheetData>
  <mergeCells count="1">
    <mergeCell ref="A1:I1"/>
  </mergeCells>
  <conditionalFormatting sqref="F4:F18">
    <cfRule type="expression" dxfId="20" priority="1">
      <formula>F4="Pagata"</formula>
    </cfRule>
    <cfRule type="expression" dxfId="19" priority="2">
      <formula>F4="Da pagare"</formula>
    </cfRule>
    <cfRule type="expression" dxfId="18" priority="3">
      <formula>F4="Parziale"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03"/>
  <sheetViews>
    <sheetView workbookViewId="0">
      <selection activeCell="A4" sqref="A4"/>
    </sheetView>
  </sheetViews>
  <sheetFormatPr baseColWidth="10" defaultColWidth="8.83203125" defaultRowHeight="15"/>
  <cols>
    <col min="1" max="1" width="14" style="1" customWidth="1"/>
    <col min="2" max="2" width="22" style="1" customWidth="1"/>
    <col min="3" max="3" width="34" style="1" customWidth="1"/>
    <col min="4" max="4" width="12" style="1" customWidth="1"/>
    <col min="5" max="6" width="14" style="1" customWidth="1"/>
    <col min="7" max="8" width="18" style="1" customWidth="1"/>
    <col min="9" max="9" width="36" style="1" customWidth="1"/>
    <col min="10" max="16384" width="8.83203125" style="1"/>
  </cols>
  <sheetData>
    <row r="1" spans="1:9" ht="49.75" customHeight="1">
      <c r="A1" s="30" t="s">
        <v>124</v>
      </c>
      <c r="B1" s="31"/>
      <c r="C1" s="31"/>
      <c r="D1" s="31"/>
      <c r="E1" s="31"/>
      <c r="F1" s="31"/>
      <c r="G1" s="31"/>
      <c r="H1" s="31"/>
      <c r="I1" s="31"/>
    </row>
    <row r="3" spans="1:9" ht="42.75" customHeight="1">
      <c r="A3" s="2" t="s">
        <v>125</v>
      </c>
      <c r="B3" s="2" t="s">
        <v>126</v>
      </c>
      <c r="C3" s="2" t="s">
        <v>127</v>
      </c>
      <c r="D3" s="2" t="s">
        <v>128</v>
      </c>
      <c r="E3" s="2" t="s">
        <v>129</v>
      </c>
      <c r="F3" s="2" t="s">
        <v>130</v>
      </c>
      <c r="G3" s="2" t="s">
        <v>131</v>
      </c>
      <c r="H3" s="2" t="s">
        <v>132</v>
      </c>
      <c r="I3" s="2" t="s">
        <v>15</v>
      </c>
    </row>
    <row r="4" spans="1:9">
      <c r="A4" s="8" t="s">
        <v>101</v>
      </c>
      <c r="B4" s="3" t="s">
        <v>133</v>
      </c>
      <c r="C4" s="3" t="s">
        <v>134</v>
      </c>
      <c r="D4" s="5">
        <v>200</v>
      </c>
      <c r="E4" s="4">
        <f>IF(D4&gt;0,Parametri!$B$6,"")</f>
        <v>2.7</v>
      </c>
      <c r="F4" s="4">
        <f t="shared" ref="F4:F35" si="0">IF(OR(D4="",E4=""),"",D4*E4)</f>
        <v>540</v>
      </c>
      <c r="G4" s="3" t="s">
        <v>100</v>
      </c>
      <c r="H4" s="3" t="s">
        <v>135</v>
      </c>
      <c r="I4" s="3" t="s">
        <v>136</v>
      </c>
    </row>
    <row r="5" spans="1:9">
      <c r="A5" s="8"/>
      <c r="B5" s="3"/>
      <c r="C5" s="3"/>
      <c r="D5" s="5"/>
      <c r="E5" s="4" t="str">
        <f>IF(D5&gt;0,Parametri!$B$6,"")</f>
        <v/>
      </c>
      <c r="F5" s="4" t="str">
        <f t="shared" si="0"/>
        <v/>
      </c>
      <c r="G5" s="3"/>
      <c r="H5" s="3" t="s">
        <v>137</v>
      </c>
      <c r="I5" s="3"/>
    </row>
    <row r="6" spans="1:9">
      <c r="A6" s="8"/>
      <c r="B6" s="3"/>
      <c r="C6" s="3"/>
      <c r="D6" s="5"/>
      <c r="E6" s="4" t="str">
        <f>IF(D6&gt;0,Parametri!$B$6,"")</f>
        <v/>
      </c>
      <c r="F6" s="4" t="str">
        <f t="shared" si="0"/>
        <v/>
      </c>
      <c r="G6" s="3"/>
      <c r="H6" s="3" t="s">
        <v>137</v>
      </c>
      <c r="I6" s="3"/>
    </row>
    <row r="7" spans="1:9">
      <c r="A7" s="8"/>
      <c r="B7" s="3"/>
      <c r="C7" s="3"/>
      <c r="D7" s="5"/>
      <c r="E7" s="4" t="str">
        <f>IF(D7&gt;0,Parametri!$B$6,"")</f>
        <v/>
      </c>
      <c r="F7" s="4" t="str">
        <f t="shared" si="0"/>
        <v/>
      </c>
      <c r="G7" s="3"/>
      <c r="H7" s="3" t="s">
        <v>137</v>
      </c>
      <c r="I7" s="3"/>
    </row>
    <row r="8" spans="1:9">
      <c r="A8" s="8"/>
      <c r="B8" s="3"/>
      <c r="C8" s="3"/>
      <c r="D8" s="5"/>
      <c r="E8" s="4" t="str">
        <f>IF(D8&gt;0,Parametri!$B$6,"")</f>
        <v/>
      </c>
      <c r="F8" s="4" t="str">
        <f t="shared" si="0"/>
        <v/>
      </c>
      <c r="G8" s="3"/>
      <c r="H8" s="3" t="s">
        <v>137</v>
      </c>
      <c r="I8" s="3"/>
    </row>
    <row r="9" spans="1:9">
      <c r="A9" s="8"/>
      <c r="B9" s="3"/>
      <c r="C9" s="3"/>
      <c r="D9" s="5"/>
      <c r="E9" s="4" t="str">
        <f>IF(D9&gt;0,Parametri!$B$6,"")</f>
        <v/>
      </c>
      <c r="F9" s="4" t="str">
        <f t="shared" si="0"/>
        <v/>
      </c>
      <c r="G9" s="3"/>
      <c r="H9" s="3" t="s">
        <v>137</v>
      </c>
      <c r="I9" s="3"/>
    </row>
    <row r="10" spans="1:9">
      <c r="A10" s="8"/>
      <c r="B10" s="3"/>
      <c r="C10" s="3"/>
      <c r="D10" s="5"/>
      <c r="E10" s="4" t="str">
        <f>IF(D10&gt;0,Parametri!$B$6,"")</f>
        <v/>
      </c>
      <c r="F10" s="4" t="str">
        <f t="shared" si="0"/>
        <v/>
      </c>
      <c r="G10" s="3"/>
      <c r="H10" s="3" t="s">
        <v>137</v>
      </c>
      <c r="I10" s="3"/>
    </row>
    <row r="11" spans="1:9">
      <c r="A11" s="8"/>
      <c r="B11" s="3"/>
      <c r="C11" s="3"/>
      <c r="D11" s="5"/>
      <c r="E11" s="4" t="str">
        <f>IF(D11&gt;0,Parametri!$B$6,"")</f>
        <v/>
      </c>
      <c r="F11" s="4" t="str">
        <f t="shared" si="0"/>
        <v/>
      </c>
      <c r="G11" s="3"/>
      <c r="H11" s="3" t="s">
        <v>137</v>
      </c>
      <c r="I11" s="3"/>
    </row>
    <row r="12" spans="1:9">
      <c r="A12" s="8"/>
      <c r="B12" s="3"/>
      <c r="C12" s="3"/>
      <c r="D12" s="5"/>
      <c r="E12" s="4" t="str">
        <f>IF(D12&gt;0,Parametri!$B$6,"")</f>
        <v/>
      </c>
      <c r="F12" s="4" t="str">
        <f t="shared" si="0"/>
        <v/>
      </c>
      <c r="G12" s="3"/>
      <c r="H12" s="3" t="s">
        <v>137</v>
      </c>
      <c r="I12" s="3"/>
    </row>
    <row r="13" spans="1:9">
      <c r="A13" s="8"/>
      <c r="B13" s="3"/>
      <c r="C13" s="3"/>
      <c r="D13" s="5"/>
      <c r="E13" s="4" t="str">
        <f>IF(D13&gt;0,Parametri!$B$6,"")</f>
        <v/>
      </c>
      <c r="F13" s="4" t="str">
        <f t="shared" si="0"/>
        <v/>
      </c>
      <c r="G13" s="3"/>
      <c r="H13" s="3" t="s">
        <v>137</v>
      </c>
      <c r="I13" s="3"/>
    </row>
    <row r="14" spans="1:9">
      <c r="A14" s="8"/>
      <c r="B14" s="3"/>
      <c r="C14" s="3"/>
      <c r="D14" s="5"/>
      <c r="E14" s="4" t="str">
        <f>IF(D14&gt;0,Parametri!$B$6,"")</f>
        <v/>
      </c>
      <c r="F14" s="4" t="str">
        <f t="shared" si="0"/>
        <v/>
      </c>
      <c r="G14" s="3"/>
      <c r="H14" s="3" t="s">
        <v>137</v>
      </c>
      <c r="I14" s="3"/>
    </row>
    <row r="15" spans="1:9">
      <c r="A15" s="8"/>
      <c r="B15" s="3"/>
      <c r="C15" s="3"/>
      <c r="D15" s="5"/>
      <c r="E15" s="4" t="str">
        <f>IF(D15&gt;0,Parametri!$B$6,"")</f>
        <v/>
      </c>
      <c r="F15" s="4" t="str">
        <f t="shared" si="0"/>
        <v/>
      </c>
      <c r="G15" s="3"/>
      <c r="H15" s="3" t="s">
        <v>137</v>
      </c>
      <c r="I15" s="3"/>
    </row>
    <row r="16" spans="1:9">
      <c r="A16" s="8"/>
      <c r="B16" s="3"/>
      <c r="C16" s="3"/>
      <c r="D16" s="5"/>
      <c r="E16" s="4" t="str">
        <f>IF(D16&gt;0,Parametri!$B$6,"")</f>
        <v/>
      </c>
      <c r="F16" s="4" t="str">
        <f t="shared" si="0"/>
        <v/>
      </c>
      <c r="G16" s="3"/>
      <c r="H16" s="3" t="s">
        <v>137</v>
      </c>
      <c r="I16" s="3"/>
    </row>
    <row r="17" spans="1:9">
      <c r="A17" s="8"/>
      <c r="B17" s="3"/>
      <c r="C17" s="3"/>
      <c r="D17" s="5"/>
      <c r="E17" s="4" t="str">
        <f>IF(D17&gt;0,Parametri!$B$6,"")</f>
        <v/>
      </c>
      <c r="F17" s="4" t="str">
        <f t="shared" si="0"/>
        <v/>
      </c>
      <c r="G17" s="3"/>
      <c r="H17" s="3" t="s">
        <v>137</v>
      </c>
      <c r="I17" s="3"/>
    </row>
    <row r="18" spans="1:9">
      <c r="A18" s="8"/>
      <c r="B18" s="3"/>
      <c r="C18" s="3"/>
      <c r="D18" s="5"/>
      <c r="E18" s="4" t="str">
        <f>IF(D18&gt;0,Parametri!$B$6,"")</f>
        <v/>
      </c>
      <c r="F18" s="4" t="str">
        <f t="shared" si="0"/>
        <v/>
      </c>
      <c r="G18" s="3"/>
      <c r="H18" s="3" t="s">
        <v>137</v>
      </c>
      <c r="I18" s="3"/>
    </row>
    <row r="19" spans="1:9">
      <c r="A19" s="8"/>
      <c r="B19" s="3"/>
      <c r="C19" s="3"/>
      <c r="D19" s="5"/>
      <c r="E19" s="4" t="str">
        <f>IF(D19&gt;0,Parametri!$B$6,"")</f>
        <v/>
      </c>
      <c r="F19" s="4" t="str">
        <f t="shared" si="0"/>
        <v/>
      </c>
      <c r="G19" s="3"/>
      <c r="H19" s="3" t="s">
        <v>137</v>
      </c>
      <c r="I19" s="3"/>
    </row>
    <row r="20" spans="1:9">
      <c r="A20" s="8"/>
      <c r="B20" s="3"/>
      <c r="C20" s="3"/>
      <c r="D20" s="5"/>
      <c r="E20" s="4" t="str">
        <f>IF(D20&gt;0,Parametri!$B$6,"")</f>
        <v/>
      </c>
      <c r="F20" s="4" t="str">
        <f t="shared" si="0"/>
        <v/>
      </c>
      <c r="G20" s="3"/>
      <c r="H20" s="3" t="s">
        <v>137</v>
      </c>
      <c r="I20" s="3"/>
    </row>
    <row r="21" spans="1:9">
      <c r="A21" s="8"/>
      <c r="B21" s="3"/>
      <c r="C21" s="3"/>
      <c r="D21" s="5"/>
      <c r="E21" s="4" t="str">
        <f>IF(D21&gt;0,Parametri!$B$6,"")</f>
        <v/>
      </c>
      <c r="F21" s="4" t="str">
        <f t="shared" si="0"/>
        <v/>
      </c>
      <c r="G21" s="3"/>
      <c r="H21" s="3" t="s">
        <v>137</v>
      </c>
      <c r="I21" s="3"/>
    </row>
    <row r="22" spans="1:9">
      <c r="A22" s="8"/>
      <c r="B22" s="3"/>
      <c r="C22" s="3"/>
      <c r="D22" s="5"/>
      <c r="E22" s="4" t="str">
        <f>IF(D22&gt;0,Parametri!$B$6,"")</f>
        <v/>
      </c>
      <c r="F22" s="4" t="str">
        <f t="shared" si="0"/>
        <v/>
      </c>
      <c r="G22" s="3"/>
      <c r="H22" s="3" t="s">
        <v>137</v>
      </c>
      <c r="I22" s="3"/>
    </row>
    <row r="23" spans="1:9">
      <c r="A23" s="8"/>
      <c r="B23" s="3"/>
      <c r="C23" s="3"/>
      <c r="D23" s="5"/>
      <c r="E23" s="4" t="str">
        <f>IF(D23&gt;0,Parametri!$B$6,"")</f>
        <v/>
      </c>
      <c r="F23" s="4" t="str">
        <f t="shared" si="0"/>
        <v/>
      </c>
      <c r="G23" s="3"/>
      <c r="H23" s="3" t="s">
        <v>137</v>
      </c>
      <c r="I23" s="3"/>
    </row>
    <row r="24" spans="1:9">
      <c r="A24" s="8"/>
      <c r="B24" s="3"/>
      <c r="C24" s="3"/>
      <c r="D24" s="5"/>
      <c r="E24" s="4" t="str">
        <f>IF(D24&gt;0,Parametri!$B$6,"")</f>
        <v/>
      </c>
      <c r="F24" s="4" t="str">
        <f t="shared" si="0"/>
        <v/>
      </c>
      <c r="G24" s="3"/>
      <c r="H24" s="3" t="s">
        <v>137</v>
      </c>
      <c r="I24" s="3"/>
    </row>
    <row r="25" spans="1:9">
      <c r="A25" s="8"/>
      <c r="B25" s="3"/>
      <c r="C25" s="3"/>
      <c r="D25" s="5"/>
      <c r="E25" s="4" t="str">
        <f>IF(D25&gt;0,Parametri!$B$6,"")</f>
        <v/>
      </c>
      <c r="F25" s="4" t="str">
        <f t="shared" si="0"/>
        <v/>
      </c>
      <c r="G25" s="3"/>
      <c r="H25" s="3" t="s">
        <v>137</v>
      </c>
      <c r="I25" s="3"/>
    </row>
    <row r="26" spans="1:9">
      <c r="A26" s="8"/>
      <c r="B26" s="3"/>
      <c r="C26" s="3"/>
      <c r="D26" s="5"/>
      <c r="E26" s="4" t="str">
        <f>IF(D26&gt;0,Parametri!$B$6,"")</f>
        <v/>
      </c>
      <c r="F26" s="4" t="str">
        <f t="shared" si="0"/>
        <v/>
      </c>
      <c r="G26" s="3"/>
      <c r="H26" s="3" t="s">
        <v>137</v>
      </c>
      <c r="I26" s="3"/>
    </row>
    <row r="27" spans="1:9">
      <c r="A27" s="8"/>
      <c r="B27" s="3"/>
      <c r="C27" s="3"/>
      <c r="D27" s="5"/>
      <c r="E27" s="4" t="str">
        <f>IF(D27&gt;0,Parametri!$B$6,"")</f>
        <v/>
      </c>
      <c r="F27" s="4" t="str">
        <f t="shared" si="0"/>
        <v/>
      </c>
      <c r="G27" s="3"/>
      <c r="H27" s="3" t="s">
        <v>137</v>
      </c>
      <c r="I27" s="3"/>
    </row>
    <row r="28" spans="1:9">
      <c r="A28" s="8"/>
      <c r="B28" s="3"/>
      <c r="C28" s="3"/>
      <c r="D28" s="5"/>
      <c r="E28" s="4" t="str">
        <f>IF(D28&gt;0,Parametri!$B$6,"")</f>
        <v/>
      </c>
      <c r="F28" s="4" t="str">
        <f t="shared" si="0"/>
        <v/>
      </c>
      <c r="G28" s="3"/>
      <c r="H28" s="3" t="s">
        <v>137</v>
      </c>
      <c r="I28" s="3"/>
    </row>
    <row r="29" spans="1:9">
      <c r="A29" s="8"/>
      <c r="B29" s="3"/>
      <c r="C29" s="3"/>
      <c r="D29" s="5"/>
      <c r="E29" s="4" t="str">
        <f>IF(D29&gt;0,Parametri!$B$6,"")</f>
        <v/>
      </c>
      <c r="F29" s="4" t="str">
        <f t="shared" si="0"/>
        <v/>
      </c>
      <c r="G29" s="3"/>
      <c r="H29" s="3" t="s">
        <v>137</v>
      </c>
      <c r="I29" s="3"/>
    </row>
    <row r="30" spans="1:9">
      <c r="A30" s="8"/>
      <c r="B30" s="3"/>
      <c r="C30" s="3"/>
      <c r="D30" s="5"/>
      <c r="E30" s="4" t="str">
        <f>IF(D30&gt;0,Parametri!$B$6,"")</f>
        <v/>
      </c>
      <c r="F30" s="4" t="str">
        <f t="shared" si="0"/>
        <v/>
      </c>
      <c r="G30" s="3"/>
      <c r="H30" s="3" t="s">
        <v>137</v>
      </c>
      <c r="I30" s="3"/>
    </row>
    <row r="31" spans="1:9">
      <c r="A31" s="8"/>
      <c r="B31" s="3"/>
      <c r="C31" s="3"/>
      <c r="D31" s="5"/>
      <c r="E31" s="4" t="str">
        <f>IF(D31&gt;0,Parametri!$B$6,"")</f>
        <v/>
      </c>
      <c r="F31" s="4" t="str">
        <f t="shared" si="0"/>
        <v/>
      </c>
      <c r="G31" s="3"/>
      <c r="H31" s="3" t="s">
        <v>137</v>
      </c>
      <c r="I31" s="3"/>
    </row>
    <row r="32" spans="1:9">
      <c r="A32" s="8"/>
      <c r="B32" s="3"/>
      <c r="C32" s="3"/>
      <c r="D32" s="5"/>
      <c r="E32" s="4" t="str">
        <f>IF(D32&gt;0,Parametri!$B$6,"")</f>
        <v/>
      </c>
      <c r="F32" s="4" t="str">
        <f t="shared" si="0"/>
        <v/>
      </c>
      <c r="G32" s="3"/>
      <c r="H32" s="3" t="s">
        <v>137</v>
      </c>
      <c r="I32" s="3"/>
    </row>
    <row r="33" spans="1:9">
      <c r="A33" s="8"/>
      <c r="B33" s="3"/>
      <c r="C33" s="3"/>
      <c r="D33" s="5"/>
      <c r="E33" s="4" t="str">
        <f>IF(D33&gt;0,Parametri!$B$6,"")</f>
        <v/>
      </c>
      <c r="F33" s="4" t="str">
        <f t="shared" si="0"/>
        <v/>
      </c>
      <c r="G33" s="3"/>
      <c r="H33" s="3" t="s">
        <v>137</v>
      </c>
      <c r="I33" s="3"/>
    </row>
    <row r="34" spans="1:9">
      <c r="A34" s="8"/>
      <c r="B34" s="3"/>
      <c r="C34" s="3"/>
      <c r="D34" s="5"/>
      <c r="E34" s="4" t="str">
        <f>IF(D34&gt;0,Parametri!$B$6,"")</f>
        <v/>
      </c>
      <c r="F34" s="4" t="str">
        <f t="shared" si="0"/>
        <v/>
      </c>
      <c r="G34" s="3"/>
      <c r="H34" s="3" t="s">
        <v>137</v>
      </c>
      <c r="I34" s="3"/>
    </row>
    <row r="35" spans="1:9">
      <c r="A35" s="8"/>
      <c r="B35" s="3"/>
      <c r="C35" s="3"/>
      <c r="D35" s="5"/>
      <c r="E35" s="4" t="str">
        <f>IF(D35&gt;0,Parametri!$B$6,"")</f>
        <v/>
      </c>
      <c r="F35" s="4" t="str">
        <f t="shared" si="0"/>
        <v/>
      </c>
      <c r="G35" s="3"/>
      <c r="H35" s="3" t="s">
        <v>137</v>
      </c>
      <c r="I35" s="3"/>
    </row>
    <row r="36" spans="1:9">
      <c r="A36" s="8"/>
      <c r="B36" s="3"/>
      <c r="C36" s="3"/>
      <c r="D36" s="5"/>
      <c r="E36" s="4" t="str">
        <f>IF(D36&gt;0,Parametri!$B$6,"")</f>
        <v/>
      </c>
      <c r="F36" s="4" t="str">
        <f t="shared" ref="F36:F67" si="1">IF(OR(D36="",E36=""),"",D36*E36)</f>
        <v/>
      </c>
      <c r="G36" s="3"/>
      <c r="H36" s="3" t="s">
        <v>137</v>
      </c>
      <c r="I36" s="3"/>
    </row>
    <row r="37" spans="1:9">
      <c r="A37" s="8"/>
      <c r="B37" s="3"/>
      <c r="C37" s="3"/>
      <c r="D37" s="5"/>
      <c r="E37" s="4" t="str">
        <f>IF(D37&gt;0,Parametri!$B$6,"")</f>
        <v/>
      </c>
      <c r="F37" s="4" t="str">
        <f t="shared" si="1"/>
        <v/>
      </c>
      <c r="G37" s="3"/>
      <c r="H37" s="3" t="s">
        <v>137</v>
      </c>
      <c r="I37" s="3"/>
    </row>
    <row r="38" spans="1:9">
      <c r="A38" s="8"/>
      <c r="B38" s="3"/>
      <c r="C38" s="3"/>
      <c r="D38" s="5"/>
      <c r="E38" s="4" t="str">
        <f>IF(D38&gt;0,Parametri!$B$6,"")</f>
        <v/>
      </c>
      <c r="F38" s="4" t="str">
        <f t="shared" si="1"/>
        <v/>
      </c>
      <c r="G38" s="3"/>
      <c r="H38" s="3" t="s">
        <v>137</v>
      </c>
      <c r="I38" s="3"/>
    </row>
    <row r="39" spans="1:9">
      <c r="A39" s="8"/>
      <c r="B39" s="3"/>
      <c r="C39" s="3"/>
      <c r="D39" s="5"/>
      <c r="E39" s="4" t="str">
        <f>IF(D39&gt;0,Parametri!$B$6,"")</f>
        <v/>
      </c>
      <c r="F39" s="4" t="str">
        <f t="shared" si="1"/>
        <v/>
      </c>
      <c r="G39" s="3"/>
      <c r="H39" s="3" t="s">
        <v>137</v>
      </c>
      <c r="I39" s="3"/>
    </row>
    <row r="40" spans="1:9">
      <c r="A40" s="8"/>
      <c r="B40" s="3"/>
      <c r="C40" s="3"/>
      <c r="D40" s="5"/>
      <c r="E40" s="4" t="str">
        <f>IF(D40&gt;0,Parametri!$B$6,"")</f>
        <v/>
      </c>
      <c r="F40" s="4" t="str">
        <f t="shared" si="1"/>
        <v/>
      </c>
      <c r="G40" s="3"/>
      <c r="H40" s="3" t="s">
        <v>137</v>
      </c>
      <c r="I40" s="3"/>
    </row>
    <row r="41" spans="1:9">
      <c r="A41" s="8"/>
      <c r="B41" s="3"/>
      <c r="C41" s="3"/>
      <c r="D41" s="5"/>
      <c r="E41" s="4" t="str">
        <f>IF(D41&gt;0,Parametri!$B$6,"")</f>
        <v/>
      </c>
      <c r="F41" s="4" t="str">
        <f t="shared" si="1"/>
        <v/>
      </c>
      <c r="G41" s="3"/>
      <c r="H41" s="3" t="s">
        <v>137</v>
      </c>
      <c r="I41" s="3"/>
    </row>
    <row r="42" spans="1:9">
      <c r="A42" s="8"/>
      <c r="B42" s="3"/>
      <c r="C42" s="3"/>
      <c r="D42" s="5"/>
      <c r="E42" s="4" t="str">
        <f>IF(D42&gt;0,Parametri!$B$6,"")</f>
        <v/>
      </c>
      <c r="F42" s="4" t="str">
        <f t="shared" si="1"/>
        <v/>
      </c>
      <c r="G42" s="3"/>
      <c r="H42" s="3" t="s">
        <v>137</v>
      </c>
      <c r="I42" s="3"/>
    </row>
    <row r="43" spans="1:9">
      <c r="A43" s="8"/>
      <c r="B43" s="3"/>
      <c r="C43" s="3"/>
      <c r="D43" s="5"/>
      <c r="E43" s="4" t="str">
        <f>IF(D43&gt;0,Parametri!$B$6,"")</f>
        <v/>
      </c>
      <c r="F43" s="4" t="str">
        <f t="shared" si="1"/>
        <v/>
      </c>
      <c r="G43" s="3"/>
      <c r="H43" s="3" t="s">
        <v>137</v>
      </c>
      <c r="I43" s="3"/>
    </row>
    <row r="44" spans="1:9">
      <c r="A44" s="8"/>
      <c r="B44" s="3"/>
      <c r="C44" s="3"/>
      <c r="D44" s="5"/>
      <c r="E44" s="4" t="str">
        <f>IF(D44&gt;0,Parametri!$B$6,"")</f>
        <v/>
      </c>
      <c r="F44" s="4" t="str">
        <f t="shared" si="1"/>
        <v/>
      </c>
      <c r="G44" s="3"/>
      <c r="H44" s="3" t="s">
        <v>137</v>
      </c>
      <c r="I44" s="3"/>
    </row>
    <row r="45" spans="1:9">
      <c r="A45" s="8"/>
      <c r="B45" s="3"/>
      <c r="C45" s="3"/>
      <c r="D45" s="5"/>
      <c r="E45" s="4" t="str">
        <f>IF(D45&gt;0,Parametri!$B$6,"")</f>
        <v/>
      </c>
      <c r="F45" s="4" t="str">
        <f t="shared" si="1"/>
        <v/>
      </c>
      <c r="G45" s="3"/>
      <c r="H45" s="3" t="s">
        <v>137</v>
      </c>
      <c r="I45" s="3"/>
    </row>
    <row r="46" spans="1:9">
      <c r="A46" s="8"/>
      <c r="B46" s="3"/>
      <c r="C46" s="3"/>
      <c r="D46" s="5"/>
      <c r="E46" s="4" t="str">
        <f>IF(D46&gt;0,Parametri!$B$6,"")</f>
        <v/>
      </c>
      <c r="F46" s="4" t="str">
        <f t="shared" si="1"/>
        <v/>
      </c>
      <c r="G46" s="3"/>
      <c r="H46" s="3" t="s">
        <v>137</v>
      </c>
      <c r="I46" s="3"/>
    </row>
    <row r="47" spans="1:9">
      <c r="A47" s="8"/>
      <c r="B47" s="3"/>
      <c r="C47" s="3"/>
      <c r="D47" s="5"/>
      <c r="E47" s="4" t="str">
        <f>IF(D47&gt;0,Parametri!$B$6,"")</f>
        <v/>
      </c>
      <c r="F47" s="4" t="str">
        <f t="shared" si="1"/>
        <v/>
      </c>
      <c r="G47" s="3"/>
      <c r="H47" s="3" t="s">
        <v>137</v>
      </c>
      <c r="I47" s="3"/>
    </row>
    <row r="48" spans="1:9">
      <c r="A48" s="8"/>
      <c r="B48" s="3"/>
      <c r="C48" s="3"/>
      <c r="D48" s="5"/>
      <c r="E48" s="4" t="str">
        <f>IF(D48&gt;0,Parametri!$B$6,"")</f>
        <v/>
      </c>
      <c r="F48" s="4" t="str">
        <f t="shared" si="1"/>
        <v/>
      </c>
      <c r="G48" s="3"/>
      <c r="H48" s="3" t="s">
        <v>137</v>
      </c>
      <c r="I48" s="3"/>
    </row>
    <row r="49" spans="1:9">
      <c r="A49" s="8"/>
      <c r="B49" s="3"/>
      <c r="C49" s="3"/>
      <c r="D49" s="5"/>
      <c r="E49" s="4" t="str">
        <f>IF(D49&gt;0,Parametri!$B$6,"")</f>
        <v/>
      </c>
      <c r="F49" s="4" t="str">
        <f t="shared" si="1"/>
        <v/>
      </c>
      <c r="G49" s="3"/>
      <c r="H49" s="3" t="s">
        <v>137</v>
      </c>
      <c r="I49" s="3"/>
    </row>
    <row r="50" spans="1:9">
      <c r="A50" s="8"/>
      <c r="B50" s="3"/>
      <c r="C50" s="3"/>
      <c r="D50" s="5"/>
      <c r="E50" s="4" t="str">
        <f>IF(D50&gt;0,Parametri!$B$6,"")</f>
        <v/>
      </c>
      <c r="F50" s="4" t="str">
        <f t="shared" si="1"/>
        <v/>
      </c>
      <c r="G50" s="3"/>
      <c r="H50" s="3" t="s">
        <v>137</v>
      </c>
      <c r="I50" s="3"/>
    </row>
    <row r="51" spans="1:9">
      <c r="A51" s="8"/>
      <c r="B51" s="3"/>
      <c r="C51" s="3"/>
      <c r="D51" s="5"/>
      <c r="E51" s="4" t="str">
        <f>IF(D51&gt;0,Parametri!$B$6,"")</f>
        <v/>
      </c>
      <c r="F51" s="4" t="str">
        <f t="shared" si="1"/>
        <v/>
      </c>
      <c r="G51" s="3"/>
      <c r="H51" s="3" t="s">
        <v>137</v>
      </c>
      <c r="I51" s="3"/>
    </row>
    <row r="52" spans="1:9">
      <c r="A52" s="8"/>
      <c r="B52" s="3"/>
      <c r="C52" s="3"/>
      <c r="D52" s="5"/>
      <c r="E52" s="4" t="str">
        <f>IF(D52&gt;0,Parametri!$B$6,"")</f>
        <v/>
      </c>
      <c r="F52" s="4" t="str">
        <f t="shared" si="1"/>
        <v/>
      </c>
      <c r="G52" s="3"/>
      <c r="H52" s="3" t="s">
        <v>137</v>
      </c>
      <c r="I52" s="3"/>
    </row>
    <row r="53" spans="1:9">
      <c r="A53" s="8"/>
      <c r="B53" s="3"/>
      <c r="C53" s="3"/>
      <c r="D53" s="5"/>
      <c r="E53" s="4" t="str">
        <f>IF(D53&gt;0,Parametri!$B$6,"")</f>
        <v/>
      </c>
      <c r="F53" s="4" t="str">
        <f t="shared" si="1"/>
        <v/>
      </c>
      <c r="G53" s="3"/>
      <c r="H53" s="3" t="s">
        <v>137</v>
      </c>
      <c r="I53" s="3"/>
    </row>
    <row r="54" spans="1:9">
      <c r="A54" s="8"/>
      <c r="B54" s="3"/>
      <c r="C54" s="3"/>
      <c r="D54" s="5"/>
      <c r="E54" s="4" t="str">
        <f>IF(D54&gt;0,Parametri!$B$6,"")</f>
        <v/>
      </c>
      <c r="F54" s="4" t="str">
        <f t="shared" si="1"/>
        <v/>
      </c>
      <c r="G54" s="3"/>
      <c r="H54" s="3" t="s">
        <v>137</v>
      </c>
      <c r="I54" s="3"/>
    </row>
    <row r="55" spans="1:9">
      <c r="A55" s="8"/>
      <c r="B55" s="3"/>
      <c r="C55" s="3"/>
      <c r="D55" s="5"/>
      <c r="E55" s="4" t="str">
        <f>IF(D55&gt;0,Parametri!$B$6,"")</f>
        <v/>
      </c>
      <c r="F55" s="4" t="str">
        <f t="shared" si="1"/>
        <v/>
      </c>
      <c r="G55" s="3"/>
      <c r="H55" s="3" t="s">
        <v>137</v>
      </c>
      <c r="I55" s="3"/>
    </row>
    <row r="56" spans="1:9">
      <c r="A56" s="8"/>
      <c r="B56" s="3"/>
      <c r="C56" s="3"/>
      <c r="D56" s="5"/>
      <c r="E56" s="4" t="str">
        <f>IF(D56&gt;0,Parametri!$B$6,"")</f>
        <v/>
      </c>
      <c r="F56" s="4" t="str">
        <f t="shared" si="1"/>
        <v/>
      </c>
      <c r="G56" s="3"/>
      <c r="H56" s="3" t="s">
        <v>137</v>
      </c>
      <c r="I56" s="3"/>
    </row>
    <row r="57" spans="1:9">
      <c r="A57" s="8"/>
      <c r="B57" s="3"/>
      <c r="C57" s="3"/>
      <c r="D57" s="5"/>
      <c r="E57" s="4" t="str">
        <f>IF(D57&gt;0,Parametri!$B$6,"")</f>
        <v/>
      </c>
      <c r="F57" s="4" t="str">
        <f t="shared" si="1"/>
        <v/>
      </c>
      <c r="G57" s="3"/>
      <c r="H57" s="3" t="s">
        <v>137</v>
      </c>
      <c r="I57" s="3"/>
    </row>
    <row r="58" spans="1:9">
      <c r="A58" s="8"/>
      <c r="B58" s="3"/>
      <c r="C58" s="3"/>
      <c r="D58" s="5"/>
      <c r="E58" s="4" t="str">
        <f>IF(D58&gt;0,Parametri!$B$6,"")</f>
        <v/>
      </c>
      <c r="F58" s="4" t="str">
        <f t="shared" si="1"/>
        <v/>
      </c>
      <c r="G58" s="3"/>
      <c r="H58" s="3" t="s">
        <v>137</v>
      </c>
      <c r="I58" s="3"/>
    </row>
    <row r="59" spans="1:9">
      <c r="A59" s="8"/>
      <c r="B59" s="3"/>
      <c r="C59" s="3"/>
      <c r="D59" s="5"/>
      <c r="E59" s="4" t="str">
        <f>IF(D59&gt;0,Parametri!$B$6,"")</f>
        <v/>
      </c>
      <c r="F59" s="4" t="str">
        <f t="shared" si="1"/>
        <v/>
      </c>
      <c r="G59" s="3"/>
      <c r="H59" s="3" t="s">
        <v>137</v>
      </c>
      <c r="I59" s="3"/>
    </row>
    <row r="60" spans="1:9">
      <c r="A60" s="8"/>
      <c r="B60" s="3"/>
      <c r="C60" s="3"/>
      <c r="D60" s="5"/>
      <c r="E60" s="4" t="str">
        <f>IF(D60&gt;0,Parametri!$B$6,"")</f>
        <v/>
      </c>
      <c r="F60" s="4" t="str">
        <f t="shared" si="1"/>
        <v/>
      </c>
      <c r="G60" s="3"/>
      <c r="H60" s="3" t="s">
        <v>137</v>
      </c>
      <c r="I60" s="3"/>
    </row>
    <row r="61" spans="1:9">
      <c r="A61" s="8"/>
      <c r="B61" s="3"/>
      <c r="C61" s="3"/>
      <c r="D61" s="5"/>
      <c r="E61" s="4" t="str">
        <f>IF(D61&gt;0,Parametri!$B$6,"")</f>
        <v/>
      </c>
      <c r="F61" s="4" t="str">
        <f t="shared" si="1"/>
        <v/>
      </c>
      <c r="G61" s="3"/>
      <c r="H61" s="3" t="s">
        <v>137</v>
      </c>
      <c r="I61" s="3"/>
    </row>
    <row r="62" spans="1:9">
      <c r="A62" s="8"/>
      <c r="B62" s="3"/>
      <c r="C62" s="3"/>
      <c r="D62" s="5"/>
      <c r="E62" s="4" t="str">
        <f>IF(D62&gt;0,Parametri!$B$6,"")</f>
        <v/>
      </c>
      <c r="F62" s="4" t="str">
        <f t="shared" si="1"/>
        <v/>
      </c>
      <c r="G62" s="3"/>
      <c r="H62" s="3" t="s">
        <v>137</v>
      </c>
      <c r="I62" s="3"/>
    </row>
    <row r="63" spans="1:9">
      <c r="A63" s="8"/>
      <c r="B63" s="3"/>
      <c r="C63" s="3"/>
      <c r="D63" s="5"/>
      <c r="E63" s="4" t="str">
        <f>IF(D63&gt;0,Parametri!$B$6,"")</f>
        <v/>
      </c>
      <c r="F63" s="4" t="str">
        <f t="shared" si="1"/>
        <v/>
      </c>
      <c r="G63" s="3"/>
      <c r="H63" s="3" t="s">
        <v>137</v>
      </c>
      <c r="I63" s="3"/>
    </row>
    <row r="64" spans="1:9">
      <c r="A64" s="8"/>
      <c r="B64" s="3"/>
      <c r="C64" s="3"/>
      <c r="D64" s="5"/>
      <c r="E64" s="4" t="str">
        <f>IF(D64&gt;0,Parametri!$B$6,"")</f>
        <v/>
      </c>
      <c r="F64" s="4" t="str">
        <f t="shared" si="1"/>
        <v/>
      </c>
      <c r="G64" s="3"/>
      <c r="H64" s="3" t="s">
        <v>137</v>
      </c>
      <c r="I64" s="3"/>
    </row>
    <row r="65" spans="1:9">
      <c r="A65" s="8"/>
      <c r="B65" s="3"/>
      <c r="C65" s="3"/>
      <c r="D65" s="5"/>
      <c r="E65" s="4" t="str">
        <f>IF(D65&gt;0,Parametri!$B$6,"")</f>
        <v/>
      </c>
      <c r="F65" s="4" t="str">
        <f t="shared" si="1"/>
        <v/>
      </c>
      <c r="G65" s="3"/>
      <c r="H65" s="3" t="s">
        <v>137</v>
      </c>
      <c r="I65" s="3"/>
    </row>
    <row r="66" spans="1:9">
      <c r="A66" s="8"/>
      <c r="B66" s="3"/>
      <c r="C66" s="3"/>
      <c r="D66" s="5"/>
      <c r="E66" s="4" t="str">
        <f>IF(D66&gt;0,Parametri!$B$6,"")</f>
        <v/>
      </c>
      <c r="F66" s="4" t="str">
        <f t="shared" si="1"/>
        <v/>
      </c>
      <c r="G66" s="3"/>
      <c r="H66" s="3" t="s">
        <v>137</v>
      </c>
      <c r="I66" s="3"/>
    </row>
    <row r="67" spans="1:9">
      <c r="A67" s="8"/>
      <c r="B67" s="3"/>
      <c r="C67" s="3"/>
      <c r="D67" s="5"/>
      <c r="E67" s="4" t="str">
        <f>IF(D67&gt;0,Parametri!$B$6,"")</f>
        <v/>
      </c>
      <c r="F67" s="4" t="str">
        <f t="shared" si="1"/>
        <v/>
      </c>
      <c r="G67" s="3"/>
      <c r="H67" s="3" t="s">
        <v>137</v>
      </c>
      <c r="I67" s="3"/>
    </row>
    <row r="68" spans="1:9">
      <c r="A68" s="8"/>
      <c r="B68" s="3"/>
      <c r="C68" s="3"/>
      <c r="D68" s="5"/>
      <c r="E68" s="4" t="str">
        <f>IF(D68&gt;0,Parametri!$B$6,"")</f>
        <v/>
      </c>
      <c r="F68" s="4" t="str">
        <f t="shared" ref="F68:F99" si="2">IF(OR(D68="",E68=""),"",D68*E68)</f>
        <v/>
      </c>
      <c r="G68" s="3"/>
      <c r="H68" s="3" t="s">
        <v>137</v>
      </c>
      <c r="I68" s="3"/>
    </row>
    <row r="69" spans="1:9">
      <c r="A69" s="8"/>
      <c r="B69" s="3"/>
      <c r="C69" s="3"/>
      <c r="D69" s="5"/>
      <c r="E69" s="4" t="str">
        <f>IF(D69&gt;0,Parametri!$B$6,"")</f>
        <v/>
      </c>
      <c r="F69" s="4" t="str">
        <f t="shared" si="2"/>
        <v/>
      </c>
      <c r="G69" s="3"/>
      <c r="H69" s="3" t="s">
        <v>137</v>
      </c>
      <c r="I69" s="3"/>
    </row>
    <row r="70" spans="1:9">
      <c r="A70" s="8"/>
      <c r="B70" s="3"/>
      <c r="C70" s="3"/>
      <c r="D70" s="5"/>
      <c r="E70" s="4" t="str">
        <f>IF(D70&gt;0,Parametri!$B$6,"")</f>
        <v/>
      </c>
      <c r="F70" s="4" t="str">
        <f t="shared" si="2"/>
        <v/>
      </c>
      <c r="G70" s="3"/>
      <c r="H70" s="3" t="s">
        <v>137</v>
      </c>
      <c r="I70" s="3"/>
    </row>
    <row r="71" spans="1:9">
      <c r="A71" s="8"/>
      <c r="B71" s="3"/>
      <c r="C71" s="3"/>
      <c r="D71" s="5"/>
      <c r="E71" s="4" t="str">
        <f>IF(D71&gt;0,Parametri!$B$6,"")</f>
        <v/>
      </c>
      <c r="F71" s="4" t="str">
        <f t="shared" si="2"/>
        <v/>
      </c>
      <c r="G71" s="3"/>
      <c r="H71" s="3" t="s">
        <v>137</v>
      </c>
      <c r="I71" s="3"/>
    </row>
    <row r="72" spans="1:9">
      <c r="A72" s="8"/>
      <c r="B72" s="3"/>
      <c r="C72" s="3"/>
      <c r="D72" s="5"/>
      <c r="E72" s="4" t="str">
        <f>IF(D72&gt;0,Parametri!$B$6,"")</f>
        <v/>
      </c>
      <c r="F72" s="4" t="str">
        <f t="shared" si="2"/>
        <v/>
      </c>
      <c r="G72" s="3"/>
      <c r="H72" s="3" t="s">
        <v>137</v>
      </c>
      <c r="I72" s="3"/>
    </row>
    <row r="73" spans="1:9">
      <c r="A73" s="8"/>
      <c r="B73" s="3"/>
      <c r="C73" s="3"/>
      <c r="D73" s="5"/>
      <c r="E73" s="4" t="str">
        <f>IF(D73&gt;0,Parametri!$B$6,"")</f>
        <v/>
      </c>
      <c r="F73" s="4" t="str">
        <f t="shared" si="2"/>
        <v/>
      </c>
      <c r="G73" s="3"/>
      <c r="H73" s="3" t="s">
        <v>137</v>
      </c>
      <c r="I73" s="3"/>
    </row>
    <row r="74" spans="1:9">
      <c r="A74" s="8"/>
      <c r="B74" s="3"/>
      <c r="C74" s="3"/>
      <c r="D74" s="5"/>
      <c r="E74" s="4" t="str">
        <f>IF(D74&gt;0,Parametri!$B$6,"")</f>
        <v/>
      </c>
      <c r="F74" s="4" t="str">
        <f t="shared" si="2"/>
        <v/>
      </c>
      <c r="G74" s="3"/>
      <c r="H74" s="3" t="s">
        <v>137</v>
      </c>
      <c r="I74" s="3"/>
    </row>
    <row r="75" spans="1:9">
      <c r="A75" s="8"/>
      <c r="B75" s="3"/>
      <c r="C75" s="3"/>
      <c r="D75" s="5"/>
      <c r="E75" s="4" t="str">
        <f>IF(D75&gt;0,Parametri!$B$6,"")</f>
        <v/>
      </c>
      <c r="F75" s="4" t="str">
        <f t="shared" si="2"/>
        <v/>
      </c>
      <c r="G75" s="3"/>
      <c r="H75" s="3" t="s">
        <v>137</v>
      </c>
      <c r="I75" s="3"/>
    </row>
    <row r="76" spans="1:9">
      <c r="A76" s="8"/>
      <c r="B76" s="3"/>
      <c r="C76" s="3"/>
      <c r="D76" s="5"/>
      <c r="E76" s="4" t="str">
        <f>IF(D76&gt;0,Parametri!$B$6,"")</f>
        <v/>
      </c>
      <c r="F76" s="4" t="str">
        <f t="shared" si="2"/>
        <v/>
      </c>
      <c r="G76" s="3"/>
      <c r="H76" s="3" t="s">
        <v>137</v>
      </c>
      <c r="I76" s="3"/>
    </row>
    <row r="77" spans="1:9">
      <c r="A77" s="8"/>
      <c r="B77" s="3"/>
      <c r="C77" s="3"/>
      <c r="D77" s="5"/>
      <c r="E77" s="4" t="str">
        <f>IF(D77&gt;0,Parametri!$B$6,"")</f>
        <v/>
      </c>
      <c r="F77" s="4" t="str">
        <f t="shared" si="2"/>
        <v/>
      </c>
      <c r="G77" s="3"/>
      <c r="H77" s="3" t="s">
        <v>137</v>
      </c>
      <c r="I77" s="3"/>
    </row>
    <row r="78" spans="1:9">
      <c r="A78" s="8"/>
      <c r="B78" s="3"/>
      <c r="C78" s="3"/>
      <c r="D78" s="5"/>
      <c r="E78" s="4" t="str">
        <f>IF(D78&gt;0,Parametri!$B$6,"")</f>
        <v/>
      </c>
      <c r="F78" s="4" t="str">
        <f t="shared" si="2"/>
        <v/>
      </c>
      <c r="G78" s="3"/>
      <c r="H78" s="3" t="s">
        <v>137</v>
      </c>
      <c r="I78" s="3"/>
    </row>
    <row r="79" spans="1:9">
      <c r="A79" s="8"/>
      <c r="B79" s="3"/>
      <c r="C79" s="3"/>
      <c r="D79" s="5"/>
      <c r="E79" s="4" t="str">
        <f>IF(D79&gt;0,Parametri!$B$6,"")</f>
        <v/>
      </c>
      <c r="F79" s="4" t="str">
        <f t="shared" si="2"/>
        <v/>
      </c>
      <c r="G79" s="3"/>
      <c r="H79" s="3" t="s">
        <v>137</v>
      </c>
      <c r="I79" s="3"/>
    </row>
    <row r="80" spans="1:9">
      <c r="A80" s="8"/>
      <c r="B80" s="3"/>
      <c r="C80" s="3"/>
      <c r="D80" s="5"/>
      <c r="E80" s="4" t="str">
        <f>IF(D80&gt;0,Parametri!$B$6,"")</f>
        <v/>
      </c>
      <c r="F80" s="4" t="str">
        <f t="shared" si="2"/>
        <v/>
      </c>
      <c r="G80" s="3"/>
      <c r="H80" s="3" t="s">
        <v>137</v>
      </c>
      <c r="I80" s="3"/>
    </row>
    <row r="81" spans="1:9">
      <c r="A81" s="8"/>
      <c r="B81" s="3"/>
      <c r="C81" s="3"/>
      <c r="D81" s="5"/>
      <c r="E81" s="4" t="str">
        <f>IF(D81&gt;0,Parametri!$B$6,"")</f>
        <v/>
      </c>
      <c r="F81" s="4" t="str">
        <f t="shared" si="2"/>
        <v/>
      </c>
      <c r="G81" s="3"/>
      <c r="H81" s="3" t="s">
        <v>137</v>
      </c>
      <c r="I81" s="3"/>
    </row>
    <row r="82" spans="1:9">
      <c r="A82" s="8"/>
      <c r="B82" s="3"/>
      <c r="C82" s="3"/>
      <c r="D82" s="5"/>
      <c r="E82" s="4" t="str">
        <f>IF(D82&gt;0,Parametri!$B$6,"")</f>
        <v/>
      </c>
      <c r="F82" s="4" t="str">
        <f t="shared" si="2"/>
        <v/>
      </c>
      <c r="G82" s="3"/>
      <c r="H82" s="3" t="s">
        <v>137</v>
      </c>
      <c r="I82" s="3"/>
    </row>
    <row r="83" spans="1:9">
      <c r="A83" s="8"/>
      <c r="B83" s="3"/>
      <c r="C83" s="3"/>
      <c r="D83" s="5"/>
      <c r="E83" s="4" t="str">
        <f>IF(D83&gt;0,Parametri!$B$6,"")</f>
        <v/>
      </c>
      <c r="F83" s="4" t="str">
        <f t="shared" si="2"/>
        <v/>
      </c>
      <c r="G83" s="3"/>
      <c r="H83" s="3" t="s">
        <v>137</v>
      </c>
      <c r="I83" s="3"/>
    </row>
    <row r="84" spans="1:9">
      <c r="A84" s="8"/>
      <c r="B84" s="3"/>
      <c r="C84" s="3"/>
      <c r="D84" s="5"/>
      <c r="E84" s="4" t="str">
        <f>IF(D84&gt;0,Parametri!$B$6,"")</f>
        <v/>
      </c>
      <c r="F84" s="4" t="str">
        <f t="shared" si="2"/>
        <v/>
      </c>
      <c r="G84" s="3"/>
      <c r="H84" s="3" t="s">
        <v>137</v>
      </c>
      <c r="I84" s="3"/>
    </row>
    <row r="85" spans="1:9">
      <c r="A85" s="8"/>
      <c r="B85" s="3"/>
      <c r="C85" s="3"/>
      <c r="D85" s="5"/>
      <c r="E85" s="4" t="str">
        <f>IF(D85&gt;0,Parametri!$B$6,"")</f>
        <v/>
      </c>
      <c r="F85" s="4" t="str">
        <f t="shared" si="2"/>
        <v/>
      </c>
      <c r="G85" s="3"/>
      <c r="H85" s="3" t="s">
        <v>137</v>
      </c>
      <c r="I85" s="3"/>
    </row>
    <row r="86" spans="1:9">
      <c r="A86" s="8"/>
      <c r="B86" s="3"/>
      <c r="C86" s="3"/>
      <c r="D86" s="5"/>
      <c r="E86" s="4" t="str">
        <f>IF(D86&gt;0,Parametri!$B$6,"")</f>
        <v/>
      </c>
      <c r="F86" s="4" t="str">
        <f t="shared" si="2"/>
        <v/>
      </c>
      <c r="G86" s="3"/>
      <c r="H86" s="3" t="s">
        <v>137</v>
      </c>
      <c r="I86" s="3"/>
    </row>
    <row r="87" spans="1:9">
      <c r="A87" s="8"/>
      <c r="B87" s="3"/>
      <c r="C87" s="3"/>
      <c r="D87" s="5"/>
      <c r="E87" s="4" t="str">
        <f>IF(D87&gt;0,Parametri!$B$6,"")</f>
        <v/>
      </c>
      <c r="F87" s="4" t="str">
        <f t="shared" si="2"/>
        <v/>
      </c>
      <c r="G87" s="3"/>
      <c r="H87" s="3" t="s">
        <v>137</v>
      </c>
      <c r="I87" s="3"/>
    </row>
    <row r="88" spans="1:9">
      <c r="A88" s="8"/>
      <c r="B88" s="3"/>
      <c r="C88" s="3"/>
      <c r="D88" s="5"/>
      <c r="E88" s="4" t="str">
        <f>IF(D88&gt;0,Parametri!$B$6,"")</f>
        <v/>
      </c>
      <c r="F88" s="4" t="str">
        <f t="shared" si="2"/>
        <v/>
      </c>
      <c r="G88" s="3"/>
      <c r="H88" s="3" t="s">
        <v>137</v>
      </c>
      <c r="I88" s="3"/>
    </row>
    <row r="89" spans="1:9">
      <c r="A89" s="8"/>
      <c r="B89" s="3"/>
      <c r="C89" s="3"/>
      <c r="D89" s="5"/>
      <c r="E89" s="4" t="str">
        <f>IF(D89&gt;0,Parametri!$B$6,"")</f>
        <v/>
      </c>
      <c r="F89" s="4" t="str">
        <f t="shared" si="2"/>
        <v/>
      </c>
      <c r="G89" s="3"/>
      <c r="H89" s="3" t="s">
        <v>137</v>
      </c>
      <c r="I89" s="3"/>
    </row>
    <row r="90" spans="1:9">
      <c r="A90" s="8"/>
      <c r="B90" s="3"/>
      <c r="C90" s="3"/>
      <c r="D90" s="5"/>
      <c r="E90" s="4" t="str">
        <f>IF(D90&gt;0,Parametri!$B$6,"")</f>
        <v/>
      </c>
      <c r="F90" s="4" t="str">
        <f t="shared" si="2"/>
        <v/>
      </c>
      <c r="G90" s="3"/>
      <c r="H90" s="3" t="s">
        <v>137</v>
      </c>
      <c r="I90" s="3"/>
    </row>
    <row r="91" spans="1:9">
      <c r="A91" s="8"/>
      <c r="B91" s="3"/>
      <c r="C91" s="3"/>
      <c r="D91" s="5"/>
      <c r="E91" s="4" t="str">
        <f>IF(D91&gt;0,Parametri!$B$6,"")</f>
        <v/>
      </c>
      <c r="F91" s="4" t="str">
        <f t="shared" si="2"/>
        <v/>
      </c>
      <c r="G91" s="3"/>
      <c r="H91" s="3" t="s">
        <v>137</v>
      </c>
      <c r="I91" s="3"/>
    </row>
    <row r="92" spans="1:9">
      <c r="A92" s="8"/>
      <c r="B92" s="3"/>
      <c r="C92" s="3"/>
      <c r="D92" s="5"/>
      <c r="E92" s="4" t="str">
        <f>IF(D92&gt;0,Parametri!$B$6,"")</f>
        <v/>
      </c>
      <c r="F92" s="4" t="str">
        <f t="shared" si="2"/>
        <v/>
      </c>
      <c r="G92" s="3"/>
      <c r="H92" s="3" t="s">
        <v>137</v>
      </c>
      <c r="I92" s="3"/>
    </row>
    <row r="93" spans="1:9">
      <c r="A93" s="8"/>
      <c r="B93" s="3"/>
      <c r="C93" s="3"/>
      <c r="D93" s="5"/>
      <c r="E93" s="4" t="str">
        <f>IF(D93&gt;0,Parametri!$B$6,"")</f>
        <v/>
      </c>
      <c r="F93" s="4" t="str">
        <f t="shared" si="2"/>
        <v/>
      </c>
      <c r="G93" s="3"/>
      <c r="H93" s="3" t="s">
        <v>137</v>
      </c>
      <c r="I93" s="3"/>
    </row>
    <row r="94" spans="1:9">
      <c r="A94" s="8"/>
      <c r="B94" s="3"/>
      <c r="C94" s="3"/>
      <c r="D94" s="5"/>
      <c r="E94" s="4" t="str">
        <f>IF(D94&gt;0,Parametri!$B$6,"")</f>
        <v/>
      </c>
      <c r="F94" s="4" t="str">
        <f t="shared" si="2"/>
        <v/>
      </c>
      <c r="G94" s="3"/>
      <c r="H94" s="3" t="s">
        <v>137</v>
      </c>
      <c r="I94" s="3"/>
    </row>
    <row r="95" spans="1:9">
      <c r="A95" s="8"/>
      <c r="B95" s="3"/>
      <c r="C95" s="3"/>
      <c r="D95" s="5"/>
      <c r="E95" s="4" t="str">
        <f>IF(D95&gt;0,Parametri!$B$6,"")</f>
        <v/>
      </c>
      <c r="F95" s="4" t="str">
        <f t="shared" si="2"/>
        <v/>
      </c>
      <c r="G95" s="3"/>
      <c r="H95" s="3" t="s">
        <v>137</v>
      </c>
      <c r="I95" s="3"/>
    </row>
    <row r="96" spans="1:9">
      <c r="A96" s="8"/>
      <c r="B96" s="3"/>
      <c r="C96" s="3"/>
      <c r="D96" s="5"/>
      <c r="E96" s="4" t="str">
        <f>IF(D96&gt;0,Parametri!$B$6,"")</f>
        <v/>
      </c>
      <c r="F96" s="4" t="str">
        <f t="shared" si="2"/>
        <v/>
      </c>
      <c r="G96" s="3"/>
      <c r="H96" s="3" t="s">
        <v>137</v>
      </c>
      <c r="I96" s="3"/>
    </row>
    <row r="97" spans="1:9">
      <c r="A97" s="8"/>
      <c r="B97" s="3"/>
      <c r="C97" s="3"/>
      <c r="D97" s="5"/>
      <c r="E97" s="4" t="str">
        <f>IF(D97&gt;0,Parametri!$B$6,"")</f>
        <v/>
      </c>
      <c r="F97" s="4" t="str">
        <f t="shared" si="2"/>
        <v/>
      </c>
      <c r="G97" s="3"/>
      <c r="H97" s="3" t="s">
        <v>137</v>
      </c>
      <c r="I97" s="3"/>
    </row>
    <row r="98" spans="1:9">
      <c r="A98" s="8"/>
      <c r="B98" s="3"/>
      <c r="C98" s="3"/>
      <c r="D98" s="5"/>
      <c r="E98" s="4" t="str">
        <f>IF(D98&gt;0,Parametri!$B$6,"")</f>
        <v/>
      </c>
      <c r="F98" s="4" t="str">
        <f t="shared" si="2"/>
        <v/>
      </c>
      <c r="G98" s="3"/>
      <c r="H98" s="3" t="s">
        <v>137</v>
      </c>
      <c r="I98" s="3"/>
    </row>
    <row r="99" spans="1:9">
      <c r="A99" s="8"/>
      <c r="B99" s="3"/>
      <c r="C99" s="3"/>
      <c r="D99" s="5"/>
      <c r="E99" s="4" t="str">
        <f>IF(D99&gt;0,Parametri!$B$6,"")</f>
        <v/>
      </c>
      <c r="F99" s="4" t="str">
        <f t="shared" si="2"/>
        <v/>
      </c>
      <c r="G99" s="3"/>
      <c r="H99" s="3" t="s">
        <v>137</v>
      </c>
      <c r="I99" s="3"/>
    </row>
    <row r="100" spans="1:9">
      <c r="A100" s="8"/>
      <c r="B100" s="3"/>
      <c r="C100" s="3"/>
      <c r="D100" s="5"/>
      <c r="E100" s="4" t="str">
        <f>IF(D100&gt;0,Parametri!$B$6,"")</f>
        <v/>
      </c>
      <c r="F100" s="4" t="str">
        <f t="shared" ref="F100:F131" si="3">IF(OR(D100="",E100=""),"",D100*E100)</f>
        <v/>
      </c>
      <c r="G100" s="3"/>
      <c r="H100" s="3" t="s">
        <v>137</v>
      </c>
      <c r="I100" s="3"/>
    </row>
    <row r="101" spans="1:9">
      <c r="A101" s="8"/>
      <c r="B101" s="3"/>
      <c r="C101" s="3"/>
      <c r="D101" s="5"/>
      <c r="E101" s="4" t="str">
        <f>IF(D101&gt;0,Parametri!$B$6,"")</f>
        <v/>
      </c>
      <c r="F101" s="4" t="str">
        <f t="shared" si="3"/>
        <v/>
      </c>
      <c r="G101" s="3"/>
      <c r="H101" s="3" t="s">
        <v>137</v>
      </c>
      <c r="I101" s="3"/>
    </row>
    <row r="102" spans="1:9">
      <c r="A102" s="8"/>
      <c r="B102" s="3"/>
      <c r="C102" s="3"/>
      <c r="D102" s="5"/>
      <c r="E102" s="4" t="str">
        <f>IF(D102&gt;0,Parametri!$B$6,"")</f>
        <v/>
      </c>
      <c r="F102" s="4" t="str">
        <f t="shared" si="3"/>
        <v/>
      </c>
      <c r="G102" s="3"/>
      <c r="H102" s="3" t="s">
        <v>137</v>
      </c>
      <c r="I102" s="3"/>
    </row>
    <row r="103" spans="1:9">
      <c r="A103" s="8"/>
      <c r="B103" s="3"/>
      <c r="C103" s="3"/>
      <c r="D103" s="5"/>
      <c r="E103" s="4" t="str">
        <f>IF(D103&gt;0,Parametri!$B$6,"")</f>
        <v/>
      </c>
      <c r="F103" s="4" t="str">
        <f t="shared" si="3"/>
        <v/>
      </c>
      <c r="G103" s="3"/>
      <c r="H103" s="3" t="s">
        <v>137</v>
      </c>
      <c r="I103" s="3"/>
    </row>
    <row r="104" spans="1:9">
      <c r="A104" s="8"/>
      <c r="B104" s="3"/>
      <c r="C104" s="3"/>
      <c r="D104" s="5"/>
      <c r="E104" s="4" t="str">
        <f>IF(D104&gt;0,Parametri!$B$6,"")</f>
        <v/>
      </c>
      <c r="F104" s="4" t="str">
        <f t="shared" si="3"/>
        <v/>
      </c>
      <c r="G104" s="3"/>
      <c r="H104" s="3" t="s">
        <v>137</v>
      </c>
      <c r="I104" s="3"/>
    </row>
    <row r="105" spans="1:9">
      <c r="A105" s="8"/>
      <c r="B105" s="3"/>
      <c r="C105" s="3"/>
      <c r="D105" s="5"/>
      <c r="E105" s="4" t="str">
        <f>IF(D105&gt;0,Parametri!$B$6,"")</f>
        <v/>
      </c>
      <c r="F105" s="4" t="str">
        <f t="shared" si="3"/>
        <v/>
      </c>
      <c r="G105" s="3"/>
      <c r="H105" s="3" t="s">
        <v>137</v>
      </c>
      <c r="I105" s="3"/>
    </row>
    <row r="106" spans="1:9">
      <c r="A106" s="8"/>
      <c r="B106" s="3"/>
      <c r="C106" s="3"/>
      <c r="D106" s="5"/>
      <c r="E106" s="4" t="str">
        <f>IF(D106&gt;0,Parametri!$B$6,"")</f>
        <v/>
      </c>
      <c r="F106" s="4" t="str">
        <f t="shared" si="3"/>
        <v/>
      </c>
      <c r="G106" s="3"/>
      <c r="H106" s="3" t="s">
        <v>137</v>
      </c>
      <c r="I106" s="3"/>
    </row>
    <row r="107" spans="1:9">
      <c r="A107" s="8"/>
      <c r="B107" s="3"/>
      <c r="C107" s="3"/>
      <c r="D107" s="5"/>
      <c r="E107" s="4" t="str">
        <f>IF(D107&gt;0,Parametri!$B$6,"")</f>
        <v/>
      </c>
      <c r="F107" s="4" t="str">
        <f t="shared" si="3"/>
        <v/>
      </c>
      <c r="G107" s="3"/>
      <c r="H107" s="3" t="s">
        <v>137</v>
      </c>
      <c r="I107" s="3"/>
    </row>
    <row r="108" spans="1:9">
      <c r="A108" s="8"/>
      <c r="B108" s="3"/>
      <c r="C108" s="3"/>
      <c r="D108" s="5"/>
      <c r="E108" s="4" t="str">
        <f>IF(D108&gt;0,Parametri!$B$6,"")</f>
        <v/>
      </c>
      <c r="F108" s="4" t="str">
        <f t="shared" si="3"/>
        <v/>
      </c>
      <c r="G108" s="3"/>
      <c r="H108" s="3" t="s">
        <v>137</v>
      </c>
      <c r="I108" s="3"/>
    </row>
    <row r="109" spans="1:9">
      <c r="A109" s="8"/>
      <c r="B109" s="3"/>
      <c r="C109" s="3"/>
      <c r="D109" s="5"/>
      <c r="E109" s="4" t="str">
        <f>IF(D109&gt;0,Parametri!$B$6,"")</f>
        <v/>
      </c>
      <c r="F109" s="4" t="str">
        <f t="shared" si="3"/>
        <v/>
      </c>
      <c r="G109" s="3"/>
      <c r="H109" s="3" t="s">
        <v>137</v>
      </c>
      <c r="I109" s="3"/>
    </row>
    <row r="110" spans="1:9">
      <c r="A110" s="8"/>
      <c r="B110" s="3"/>
      <c r="C110" s="3"/>
      <c r="D110" s="5"/>
      <c r="E110" s="4" t="str">
        <f>IF(D110&gt;0,Parametri!$B$6,"")</f>
        <v/>
      </c>
      <c r="F110" s="4" t="str">
        <f t="shared" si="3"/>
        <v/>
      </c>
      <c r="G110" s="3"/>
      <c r="H110" s="3" t="s">
        <v>137</v>
      </c>
      <c r="I110" s="3"/>
    </row>
    <row r="111" spans="1:9">
      <c r="A111" s="8"/>
      <c r="B111" s="3"/>
      <c r="C111" s="3"/>
      <c r="D111" s="5"/>
      <c r="E111" s="4" t="str">
        <f>IF(D111&gt;0,Parametri!$B$6,"")</f>
        <v/>
      </c>
      <c r="F111" s="4" t="str">
        <f t="shared" si="3"/>
        <v/>
      </c>
      <c r="G111" s="3"/>
      <c r="H111" s="3" t="s">
        <v>137</v>
      </c>
      <c r="I111" s="3"/>
    </row>
    <row r="112" spans="1:9">
      <c r="A112" s="8"/>
      <c r="B112" s="3"/>
      <c r="C112" s="3"/>
      <c r="D112" s="5"/>
      <c r="E112" s="4" t="str">
        <f>IF(D112&gt;0,Parametri!$B$6,"")</f>
        <v/>
      </c>
      <c r="F112" s="4" t="str">
        <f t="shared" si="3"/>
        <v/>
      </c>
      <c r="G112" s="3"/>
      <c r="H112" s="3" t="s">
        <v>137</v>
      </c>
      <c r="I112" s="3"/>
    </row>
    <row r="113" spans="1:9">
      <c r="A113" s="8"/>
      <c r="B113" s="3"/>
      <c r="C113" s="3"/>
      <c r="D113" s="5"/>
      <c r="E113" s="4" t="str">
        <f>IF(D113&gt;0,Parametri!$B$6,"")</f>
        <v/>
      </c>
      <c r="F113" s="4" t="str">
        <f t="shared" si="3"/>
        <v/>
      </c>
      <c r="G113" s="3"/>
      <c r="H113" s="3" t="s">
        <v>137</v>
      </c>
      <c r="I113" s="3"/>
    </row>
    <row r="114" spans="1:9">
      <c r="A114" s="8"/>
      <c r="B114" s="3"/>
      <c r="C114" s="3"/>
      <c r="D114" s="5"/>
      <c r="E114" s="4" t="str">
        <f>IF(D114&gt;0,Parametri!$B$6,"")</f>
        <v/>
      </c>
      <c r="F114" s="4" t="str">
        <f t="shared" si="3"/>
        <v/>
      </c>
      <c r="G114" s="3"/>
      <c r="H114" s="3" t="s">
        <v>137</v>
      </c>
      <c r="I114" s="3"/>
    </row>
    <row r="115" spans="1:9">
      <c r="A115" s="8"/>
      <c r="B115" s="3"/>
      <c r="C115" s="3"/>
      <c r="D115" s="5"/>
      <c r="E115" s="4" t="str">
        <f>IF(D115&gt;0,Parametri!$B$6,"")</f>
        <v/>
      </c>
      <c r="F115" s="4" t="str">
        <f t="shared" si="3"/>
        <v/>
      </c>
      <c r="G115" s="3"/>
      <c r="H115" s="3" t="s">
        <v>137</v>
      </c>
      <c r="I115" s="3"/>
    </row>
    <row r="116" spans="1:9">
      <c r="A116" s="8"/>
      <c r="B116" s="3"/>
      <c r="C116" s="3"/>
      <c r="D116" s="5"/>
      <c r="E116" s="4" t="str">
        <f>IF(D116&gt;0,Parametri!$B$6,"")</f>
        <v/>
      </c>
      <c r="F116" s="4" t="str">
        <f t="shared" si="3"/>
        <v/>
      </c>
      <c r="G116" s="3"/>
      <c r="H116" s="3" t="s">
        <v>137</v>
      </c>
      <c r="I116" s="3"/>
    </row>
    <row r="117" spans="1:9">
      <c r="A117" s="8"/>
      <c r="B117" s="3"/>
      <c r="C117" s="3"/>
      <c r="D117" s="5"/>
      <c r="E117" s="4" t="str">
        <f>IF(D117&gt;0,Parametri!$B$6,"")</f>
        <v/>
      </c>
      <c r="F117" s="4" t="str">
        <f t="shared" si="3"/>
        <v/>
      </c>
      <c r="G117" s="3"/>
      <c r="H117" s="3" t="s">
        <v>137</v>
      </c>
      <c r="I117" s="3"/>
    </row>
    <row r="118" spans="1:9">
      <c r="A118" s="8"/>
      <c r="B118" s="3"/>
      <c r="C118" s="3"/>
      <c r="D118" s="5"/>
      <c r="E118" s="4" t="str">
        <f>IF(D118&gt;0,Parametri!$B$6,"")</f>
        <v/>
      </c>
      <c r="F118" s="4" t="str">
        <f t="shared" si="3"/>
        <v/>
      </c>
      <c r="G118" s="3"/>
      <c r="H118" s="3" t="s">
        <v>137</v>
      </c>
      <c r="I118" s="3"/>
    </row>
    <row r="119" spans="1:9">
      <c r="A119" s="8"/>
      <c r="B119" s="3"/>
      <c r="C119" s="3"/>
      <c r="D119" s="5"/>
      <c r="E119" s="4" t="str">
        <f>IF(D119&gt;0,Parametri!$B$6,"")</f>
        <v/>
      </c>
      <c r="F119" s="4" t="str">
        <f t="shared" si="3"/>
        <v/>
      </c>
      <c r="G119" s="3"/>
      <c r="H119" s="3" t="s">
        <v>137</v>
      </c>
      <c r="I119" s="3"/>
    </row>
    <row r="120" spans="1:9">
      <c r="A120" s="8"/>
      <c r="B120" s="3"/>
      <c r="C120" s="3"/>
      <c r="D120" s="5"/>
      <c r="E120" s="4" t="str">
        <f>IF(D120&gt;0,Parametri!$B$6,"")</f>
        <v/>
      </c>
      <c r="F120" s="4" t="str">
        <f t="shared" si="3"/>
        <v/>
      </c>
      <c r="G120" s="3"/>
      <c r="H120" s="3" t="s">
        <v>137</v>
      </c>
      <c r="I120" s="3"/>
    </row>
    <row r="121" spans="1:9">
      <c r="A121" s="8"/>
      <c r="B121" s="3"/>
      <c r="C121" s="3"/>
      <c r="D121" s="5"/>
      <c r="E121" s="4" t="str">
        <f>IF(D121&gt;0,Parametri!$B$6,"")</f>
        <v/>
      </c>
      <c r="F121" s="4" t="str">
        <f t="shared" si="3"/>
        <v/>
      </c>
      <c r="G121" s="3"/>
      <c r="H121" s="3" t="s">
        <v>137</v>
      </c>
      <c r="I121" s="3"/>
    </row>
    <row r="122" spans="1:9">
      <c r="A122" s="8"/>
      <c r="B122" s="3"/>
      <c r="C122" s="3"/>
      <c r="D122" s="5"/>
      <c r="E122" s="4" t="str">
        <f>IF(D122&gt;0,Parametri!$B$6,"")</f>
        <v/>
      </c>
      <c r="F122" s="4" t="str">
        <f t="shared" si="3"/>
        <v/>
      </c>
      <c r="G122" s="3"/>
      <c r="H122" s="3" t="s">
        <v>137</v>
      </c>
      <c r="I122" s="3"/>
    </row>
    <row r="123" spans="1:9">
      <c r="A123" s="8"/>
      <c r="B123" s="3"/>
      <c r="C123" s="3"/>
      <c r="D123" s="5"/>
      <c r="E123" s="4" t="str">
        <f>IF(D123&gt;0,Parametri!$B$6,"")</f>
        <v/>
      </c>
      <c r="F123" s="4" t="str">
        <f t="shared" si="3"/>
        <v/>
      </c>
      <c r="G123" s="3"/>
      <c r="H123" s="3" t="s">
        <v>137</v>
      </c>
      <c r="I123" s="3"/>
    </row>
    <row r="124" spans="1:9">
      <c r="A124" s="8"/>
      <c r="B124" s="3"/>
      <c r="C124" s="3"/>
      <c r="D124" s="5"/>
      <c r="E124" s="4" t="str">
        <f>IF(D124&gt;0,Parametri!$B$6,"")</f>
        <v/>
      </c>
      <c r="F124" s="4" t="str">
        <f t="shared" si="3"/>
        <v/>
      </c>
      <c r="G124" s="3"/>
      <c r="H124" s="3" t="s">
        <v>137</v>
      </c>
      <c r="I124" s="3"/>
    </row>
    <row r="125" spans="1:9">
      <c r="A125" s="8"/>
      <c r="B125" s="3"/>
      <c r="C125" s="3"/>
      <c r="D125" s="5"/>
      <c r="E125" s="4" t="str">
        <f>IF(D125&gt;0,Parametri!$B$6,"")</f>
        <v/>
      </c>
      <c r="F125" s="4" t="str">
        <f t="shared" si="3"/>
        <v/>
      </c>
      <c r="G125" s="3"/>
      <c r="H125" s="3" t="s">
        <v>137</v>
      </c>
      <c r="I125" s="3"/>
    </row>
    <row r="126" spans="1:9">
      <c r="A126" s="8"/>
      <c r="B126" s="3"/>
      <c r="C126" s="3"/>
      <c r="D126" s="5"/>
      <c r="E126" s="4" t="str">
        <f>IF(D126&gt;0,Parametri!$B$6,"")</f>
        <v/>
      </c>
      <c r="F126" s="4" t="str">
        <f t="shared" si="3"/>
        <v/>
      </c>
      <c r="G126" s="3"/>
      <c r="H126" s="3" t="s">
        <v>137</v>
      </c>
      <c r="I126" s="3"/>
    </row>
    <row r="127" spans="1:9">
      <c r="A127" s="8"/>
      <c r="B127" s="3"/>
      <c r="C127" s="3"/>
      <c r="D127" s="5"/>
      <c r="E127" s="4" t="str">
        <f>IF(D127&gt;0,Parametri!$B$6,"")</f>
        <v/>
      </c>
      <c r="F127" s="4" t="str">
        <f t="shared" si="3"/>
        <v/>
      </c>
      <c r="G127" s="3"/>
      <c r="H127" s="3" t="s">
        <v>137</v>
      </c>
      <c r="I127" s="3"/>
    </row>
    <row r="128" spans="1:9">
      <c r="A128" s="8"/>
      <c r="B128" s="3"/>
      <c r="C128" s="3"/>
      <c r="D128" s="5"/>
      <c r="E128" s="4" t="str">
        <f>IF(D128&gt;0,Parametri!$B$6,"")</f>
        <v/>
      </c>
      <c r="F128" s="4" t="str">
        <f t="shared" si="3"/>
        <v/>
      </c>
      <c r="G128" s="3"/>
      <c r="H128" s="3" t="s">
        <v>137</v>
      </c>
      <c r="I128" s="3"/>
    </row>
    <row r="129" spans="1:9">
      <c r="A129" s="8"/>
      <c r="B129" s="3"/>
      <c r="C129" s="3"/>
      <c r="D129" s="5"/>
      <c r="E129" s="4" t="str">
        <f>IF(D129&gt;0,Parametri!$B$6,"")</f>
        <v/>
      </c>
      <c r="F129" s="4" t="str">
        <f t="shared" si="3"/>
        <v/>
      </c>
      <c r="G129" s="3"/>
      <c r="H129" s="3" t="s">
        <v>137</v>
      </c>
      <c r="I129" s="3"/>
    </row>
    <row r="130" spans="1:9">
      <c r="A130" s="8"/>
      <c r="B130" s="3"/>
      <c r="C130" s="3"/>
      <c r="D130" s="5"/>
      <c r="E130" s="4" t="str">
        <f>IF(D130&gt;0,Parametri!$B$6,"")</f>
        <v/>
      </c>
      <c r="F130" s="4" t="str">
        <f t="shared" si="3"/>
        <v/>
      </c>
      <c r="G130" s="3"/>
      <c r="H130" s="3" t="s">
        <v>137</v>
      </c>
      <c r="I130" s="3"/>
    </row>
    <row r="131" spans="1:9">
      <c r="A131" s="8"/>
      <c r="B131" s="3"/>
      <c r="C131" s="3"/>
      <c r="D131" s="5"/>
      <c r="E131" s="4" t="str">
        <f>IF(D131&gt;0,Parametri!$B$6,"")</f>
        <v/>
      </c>
      <c r="F131" s="4" t="str">
        <f t="shared" si="3"/>
        <v/>
      </c>
      <c r="G131" s="3"/>
      <c r="H131" s="3" t="s">
        <v>137</v>
      </c>
      <c r="I131" s="3"/>
    </row>
    <row r="132" spans="1:9">
      <c r="A132" s="8"/>
      <c r="B132" s="3"/>
      <c r="C132" s="3"/>
      <c r="D132" s="5"/>
      <c r="E132" s="4" t="str">
        <f>IF(D132&gt;0,Parametri!$B$6,"")</f>
        <v/>
      </c>
      <c r="F132" s="4" t="str">
        <f t="shared" ref="F132:F163" si="4">IF(OR(D132="",E132=""),"",D132*E132)</f>
        <v/>
      </c>
      <c r="G132" s="3"/>
      <c r="H132" s="3" t="s">
        <v>137</v>
      </c>
      <c r="I132" s="3"/>
    </row>
    <row r="133" spans="1:9">
      <c r="A133" s="8"/>
      <c r="B133" s="3"/>
      <c r="C133" s="3"/>
      <c r="D133" s="5"/>
      <c r="E133" s="4" t="str">
        <f>IF(D133&gt;0,Parametri!$B$6,"")</f>
        <v/>
      </c>
      <c r="F133" s="4" t="str">
        <f t="shared" si="4"/>
        <v/>
      </c>
      <c r="G133" s="3"/>
      <c r="H133" s="3" t="s">
        <v>137</v>
      </c>
      <c r="I133" s="3"/>
    </row>
    <row r="134" spans="1:9">
      <c r="A134" s="8"/>
      <c r="B134" s="3"/>
      <c r="C134" s="3"/>
      <c r="D134" s="5"/>
      <c r="E134" s="4" t="str">
        <f>IF(D134&gt;0,Parametri!$B$6,"")</f>
        <v/>
      </c>
      <c r="F134" s="4" t="str">
        <f t="shared" si="4"/>
        <v/>
      </c>
      <c r="G134" s="3"/>
      <c r="H134" s="3" t="s">
        <v>137</v>
      </c>
      <c r="I134" s="3"/>
    </row>
    <row r="135" spans="1:9">
      <c r="A135" s="8"/>
      <c r="B135" s="3"/>
      <c r="C135" s="3"/>
      <c r="D135" s="5"/>
      <c r="E135" s="4" t="str">
        <f>IF(D135&gt;0,Parametri!$B$6,"")</f>
        <v/>
      </c>
      <c r="F135" s="4" t="str">
        <f t="shared" si="4"/>
        <v/>
      </c>
      <c r="G135" s="3"/>
      <c r="H135" s="3" t="s">
        <v>137</v>
      </c>
      <c r="I135" s="3"/>
    </row>
    <row r="136" spans="1:9">
      <c r="A136" s="8"/>
      <c r="B136" s="3"/>
      <c r="C136" s="3"/>
      <c r="D136" s="5"/>
      <c r="E136" s="4" t="str">
        <f>IF(D136&gt;0,Parametri!$B$6,"")</f>
        <v/>
      </c>
      <c r="F136" s="4" t="str">
        <f t="shared" si="4"/>
        <v/>
      </c>
      <c r="G136" s="3"/>
      <c r="H136" s="3" t="s">
        <v>137</v>
      </c>
      <c r="I136" s="3"/>
    </row>
    <row r="137" spans="1:9">
      <c r="A137" s="8"/>
      <c r="B137" s="3"/>
      <c r="C137" s="3"/>
      <c r="D137" s="5"/>
      <c r="E137" s="4" t="str">
        <f>IF(D137&gt;0,Parametri!$B$6,"")</f>
        <v/>
      </c>
      <c r="F137" s="4" t="str">
        <f t="shared" si="4"/>
        <v/>
      </c>
      <c r="G137" s="3"/>
      <c r="H137" s="3" t="s">
        <v>137</v>
      </c>
      <c r="I137" s="3"/>
    </row>
    <row r="138" spans="1:9">
      <c r="A138" s="8"/>
      <c r="B138" s="3"/>
      <c r="C138" s="3"/>
      <c r="D138" s="5"/>
      <c r="E138" s="4" t="str">
        <f>IF(D138&gt;0,Parametri!$B$6,"")</f>
        <v/>
      </c>
      <c r="F138" s="4" t="str">
        <f t="shared" si="4"/>
        <v/>
      </c>
      <c r="G138" s="3"/>
      <c r="H138" s="3" t="s">
        <v>137</v>
      </c>
      <c r="I138" s="3"/>
    </row>
    <row r="139" spans="1:9">
      <c r="A139" s="8"/>
      <c r="B139" s="3"/>
      <c r="C139" s="3"/>
      <c r="D139" s="5"/>
      <c r="E139" s="4" t="str">
        <f>IF(D139&gt;0,Parametri!$B$6,"")</f>
        <v/>
      </c>
      <c r="F139" s="4" t="str">
        <f t="shared" si="4"/>
        <v/>
      </c>
      <c r="G139" s="3"/>
      <c r="H139" s="3" t="s">
        <v>137</v>
      </c>
      <c r="I139" s="3"/>
    </row>
    <row r="140" spans="1:9">
      <c r="A140" s="8"/>
      <c r="B140" s="3"/>
      <c r="C140" s="3"/>
      <c r="D140" s="5"/>
      <c r="E140" s="4" t="str">
        <f>IF(D140&gt;0,Parametri!$B$6,"")</f>
        <v/>
      </c>
      <c r="F140" s="4" t="str">
        <f t="shared" si="4"/>
        <v/>
      </c>
      <c r="G140" s="3"/>
      <c r="H140" s="3" t="s">
        <v>137</v>
      </c>
      <c r="I140" s="3"/>
    </row>
    <row r="141" spans="1:9">
      <c r="A141" s="8"/>
      <c r="B141" s="3"/>
      <c r="C141" s="3"/>
      <c r="D141" s="5"/>
      <c r="E141" s="4" t="str">
        <f>IF(D141&gt;0,Parametri!$B$6,"")</f>
        <v/>
      </c>
      <c r="F141" s="4" t="str">
        <f t="shared" si="4"/>
        <v/>
      </c>
      <c r="G141" s="3"/>
      <c r="H141" s="3" t="s">
        <v>137</v>
      </c>
      <c r="I141" s="3"/>
    </row>
    <row r="142" spans="1:9">
      <c r="A142" s="8"/>
      <c r="B142" s="3"/>
      <c r="C142" s="3"/>
      <c r="D142" s="5"/>
      <c r="E142" s="4" t="str">
        <f>IF(D142&gt;0,Parametri!$B$6,"")</f>
        <v/>
      </c>
      <c r="F142" s="4" t="str">
        <f t="shared" si="4"/>
        <v/>
      </c>
      <c r="G142" s="3"/>
      <c r="H142" s="3" t="s">
        <v>137</v>
      </c>
      <c r="I142" s="3"/>
    </row>
    <row r="143" spans="1:9">
      <c r="A143" s="8"/>
      <c r="B143" s="3"/>
      <c r="C143" s="3"/>
      <c r="D143" s="5"/>
      <c r="E143" s="4" t="str">
        <f>IF(D143&gt;0,Parametri!$B$6,"")</f>
        <v/>
      </c>
      <c r="F143" s="4" t="str">
        <f t="shared" si="4"/>
        <v/>
      </c>
      <c r="G143" s="3"/>
      <c r="H143" s="3" t="s">
        <v>137</v>
      </c>
      <c r="I143" s="3"/>
    </row>
    <row r="144" spans="1:9">
      <c r="A144" s="8"/>
      <c r="B144" s="3"/>
      <c r="C144" s="3"/>
      <c r="D144" s="5"/>
      <c r="E144" s="4" t="str">
        <f>IF(D144&gt;0,Parametri!$B$6,"")</f>
        <v/>
      </c>
      <c r="F144" s="4" t="str">
        <f t="shared" si="4"/>
        <v/>
      </c>
      <c r="G144" s="3"/>
      <c r="H144" s="3" t="s">
        <v>137</v>
      </c>
      <c r="I144" s="3"/>
    </row>
    <row r="145" spans="1:9">
      <c r="A145" s="8"/>
      <c r="B145" s="3"/>
      <c r="C145" s="3"/>
      <c r="D145" s="5"/>
      <c r="E145" s="4" t="str">
        <f>IF(D145&gt;0,Parametri!$B$6,"")</f>
        <v/>
      </c>
      <c r="F145" s="4" t="str">
        <f t="shared" si="4"/>
        <v/>
      </c>
      <c r="G145" s="3"/>
      <c r="H145" s="3" t="s">
        <v>137</v>
      </c>
      <c r="I145" s="3"/>
    </row>
    <row r="146" spans="1:9">
      <c r="A146" s="8"/>
      <c r="B146" s="3"/>
      <c r="C146" s="3"/>
      <c r="D146" s="5"/>
      <c r="E146" s="4" t="str">
        <f>IF(D146&gt;0,Parametri!$B$6,"")</f>
        <v/>
      </c>
      <c r="F146" s="4" t="str">
        <f t="shared" si="4"/>
        <v/>
      </c>
      <c r="G146" s="3"/>
      <c r="H146" s="3" t="s">
        <v>137</v>
      </c>
      <c r="I146" s="3"/>
    </row>
    <row r="147" spans="1:9">
      <c r="A147" s="8"/>
      <c r="B147" s="3"/>
      <c r="C147" s="3"/>
      <c r="D147" s="5"/>
      <c r="E147" s="4" t="str">
        <f>IF(D147&gt;0,Parametri!$B$6,"")</f>
        <v/>
      </c>
      <c r="F147" s="4" t="str">
        <f t="shared" si="4"/>
        <v/>
      </c>
      <c r="G147" s="3"/>
      <c r="H147" s="3" t="s">
        <v>137</v>
      </c>
      <c r="I147" s="3"/>
    </row>
    <row r="148" spans="1:9">
      <c r="A148" s="8"/>
      <c r="B148" s="3"/>
      <c r="C148" s="3"/>
      <c r="D148" s="5"/>
      <c r="E148" s="4" t="str">
        <f>IF(D148&gt;0,Parametri!$B$6,"")</f>
        <v/>
      </c>
      <c r="F148" s="4" t="str">
        <f t="shared" si="4"/>
        <v/>
      </c>
      <c r="G148" s="3"/>
      <c r="H148" s="3" t="s">
        <v>137</v>
      </c>
      <c r="I148" s="3"/>
    </row>
    <row r="149" spans="1:9">
      <c r="A149" s="8"/>
      <c r="B149" s="3"/>
      <c r="C149" s="3"/>
      <c r="D149" s="5"/>
      <c r="E149" s="4" t="str">
        <f>IF(D149&gt;0,Parametri!$B$6,"")</f>
        <v/>
      </c>
      <c r="F149" s="4" t="str">
        <f t="shared" si="4"/>
        <v/>
      </c>
      <c r="G149" s="3"/>
      <c r="H149" s="3" t="s">
        <v>137</v>
      </c>
      <c r="I149" s="3"/>
    </row>
    <row r="150" spans="1:9">
      <c r="A150" s="8"/>
      <c r="B150" s="3"/>
      <c r="C150" s="3"/>
      <c r="D150" s="5"/>
      <c r="E150" s="4" t="str">
        <f>IF(D150&gt;0,Parametri!$B$6,"")</f>
        <v/>
      </c>
      <c r="F150" s="4" t="str">
        <f t="shared" si="4"/>
        <v/>
      </c>
      <c r="G150" s="3"/>
      <c r="H150" s="3" t="s">
        <v>137</v>
      </c>
      <c r="I150" s="3"/>
    </row>
    <row r="151" spans="1:9">
      <c r="A151" s="8"/>
      <c r="B151" s="3"/>
      <c r="C151" s="3"/>
      <c r="D151" s="5"/>
      <c r="E151" s="4" t="str">
        <f>IF(D151&gt;0,Parametri!$B$6,"")</f>
        <v/>
      </c>
      <c r="F151" s="4" t="str">
        <f t="shared" si="4"/>
        <v/>
      </c>
      <c r="G151" s="3"/>
      <c r="H151" s="3" t="s">
        <v>137</v>
      </c>
      <c r="I151" s="3"/>
    </row>
    <row r="152" spans="1:9">
      <c r="A152" s="8"/>
      <c r="B152" s="3"/>
      <c r="C152" s="3"/>
      <c r="D152" s="5"/>
      <c r="E152" s="4" t="str">
        <f>IF(D152&gt;0,Parametri!$B$6,"")</f>
        <v/>
      </c>
      <c r="F152" s="4" t="str">
        <f t="shared" si="4"/>
        <v/>
      </c>
      <c r="G152" s="3"/>
      <c r="H152" s="3" t="s">
        <v>137</v>
      </c>
      <c r="I152" s="3"/>
    </row>
    <row r="153" spans="1:9">
      <c r="A153" s="8"/>
      <c r="B153" s="3"/>
      <c r="C153" s="3"/>
      <c r="D153" s="5"/>
      <c r="E153" s="4" t="str">
        <f>IF(D153&gt;0,Parametri!$B$6,"")</f>
        <v/>
      </c>
      <c r="F153" s="4" t="str">
        <f t="shared" si="4"/>
        <v/>
      </c>
      <c r="G153" s="3"/>
      <c r="H153" s="3" t="s">
        <v>137</v>
      </c>
      <c r="I153" s="3"/>
    </row>
    <row r="154" spans="1:9">
      <c r="A154" s="8"/>
      <c r="B154" s="3"/>
      <c r="C154" s="3"/>
      <c r="D154" s="5"/>
      <c r="E154" s="4" t="str">
        <f>IF(D154&gt;0,Parametri!$B$6,"")</f>
        <v/>
      </c>
      <c r="F154" s="4" t="str">
        <f t="shared" si="4"/>
        <v/>
      </c>
      <c r="G154" s="3"/>
      <c r="H154" s="3" t="s">
        <v>137</v>
      </c>
      <c r="I154" s="3"/>
    </row>
    <row r="155" spans="1:9">
      <c r="A155" s="8"/>
      <c r="B155" s="3"/>
      <c r="C155" s="3"/>
      <c r="D155" s="5"/>
      <c r="E155" s="4" t="str">
        <f>IF(D155&gt;0,Parametri!$B$6,"")</f>
        <v/>
      </c>
      <c r="F155" s="4" t="str">
        <f t="shared" si="4"/>
        <v/>
      </c>
      <c r="G155" s="3"/>
      <c r="H155" s="3" t="s">
        <v>137</v>
      </c>
      <c r="I155" s="3"/>
    </row>
    <row r="156" spans="1:9">
      <c r="A156" s="8"/>
      <c r="B156" s="3"/>
      <c r="C156" s="3"/>
      <c r="D156" s="5"/>
      <c r="E156" s="4" t="str">
        <f>IF(D156&gt;0,Parametri!$B$6,"")</f>
        <v/>
      </c>
      <c r="F156" s="4" t="str">
        <f t="shared" si="4"/>
        <v/>
      </c>
      <c r="G156" s="3"/>
      <c r="H156" s="3" t="s">
        <v>137</v>
      </c>
      <c r="I156" s="3"/>
    </row>
    <row r="157" spans="1:9">
      <c r="A157" s="8"/>
      <c r="B157" s="3"/>
      <c r="C157" s="3"/>
      <c r="D157" s="5"/>
      <c r="E157" s="4" t="str">
        <f>IF(D157&gt;0,Parametri!$B$6,"")</f>
        <v/>
      </c>
      <c r="F157" s="4" t="str">
        <f t="shared" si="4"/>
        <v/>
      </c>
      <c r="G157" s="3"/>
      <c r="H157" s="3" t="s">
        <v>137</v>
      </c>
      <c r="I157" s="3"/>
    </row>
    <row r="158" spans="1:9">
      <c r="A158" s="8"/>
      <c r="B158" s="3"/>
      <c r="C158" s="3"/>
      <c r="D158" s="5"/>
      <c r="E158" s="4" t="str">
        <f>IF(D158&gt;0,Parametri!$B$6,"")</f>
        <v/>
      </c>
      <c r="F158" s="4" t="str">
        <f t="shared" si="4"/>
        <v/>
      </c>
      <c r="G158" s="3"/>
      <c r="H158" s="3" t="s">
        <v>137</v>
      </c>
      <c r="I158" s="3"/>
    </row>
    <row r="159" spans="1:9">
      <c r="A159" s="8"/>
      <c r="B159" s="3"/>
      <c r="C159" s="3"/>
      <c r="D159" s="5"/>
      <c r="E159" s="4" t="str">
        <f>IF(D159&gt;0,Parametri!$B$6,"")</f>
        <v/>
      </c>
      <c r="F159" s="4" t="str">
        <f t="shared" si="4"/>
        <v/>
      </c>
      <c r="G159" s="3"/>
      <c r="H159" s="3" t="s">
        <v>137</v>
      </c>
      <c r="I159" s="3"/>
    </row>
    <row r="160" spans="1:9">
      <c r="A160" s="8"/>
      <c r="B160" s="3"/>
      <c r="C160" s="3"/>
      <c r="D160" s="5"/>
      <c r="E160" s="4" t="str">
        <f>IF(D160&gt;0,Parametri!$B$6,"")</f>
        <v/>
      </c>
      <c r="F160" s="4" t="str">
        <f t="shared" si="4"/>
        <v/>
      </c>
      <c r="G160" s="3"/>
      <c r="H160" s="3" t="s">
        <v>137</v>
      </c>
      <c r="I160" s="3"/>
    </row>
    <row r="161" spans="1:9">
      <c r="A161" s="8"/>
      <c r="B161" s="3"/>
      <c r="C161" s="3"/>
      <c r="D161" s="5"/>
      <c r="E161" s="4" t="str">
        <f>IF(D161&gt;0,Parametri!$B$6,"")</f>
        <v/>
      </c>
      <c r="F161" s="4" t="str">
        <f t="shared" si="4"/>
        <v/>
      </c>
      <c r="G161" s="3"/>
      <c r="H161" s="3" t="s">
        <v>137</v>
      </c>
      <c r="I161" s="3"/>
    </row>
    <row r="162" spans="1:9">
      <c r="A162" s="8"/>
      <c r="B162" s="3"/>
      <c r="C162" s="3"/>
      <c r="D162" s="5"/>
      <c r="E162" s="4" t="str">
        <f>IF(D162&gt;0,Parametri!$B$6,"")</f>
        <v/>
      </c>
      <c r="F162" s="4" t="str">
        <f t="shared" si="4"/>
        <v/>
      </c>
      <c r="G162" s="3"/>
      <c r="H162" s="3" t="s">
        <v>137</v>
      </c>
      <c r="I162" s="3"/>
    </row>
    <row r="163" spans="1:9">
      <c r="A163" s="8"/>
      <c r="B163" s="3"/>
      <c r="C163" s="3"/>
      <c r="D163" s="5"/>
      <c r="E163" s="4" t="str">
        <f>IF(D163&gt;0,Parametri!$B$6,"")</f>
        <v/>
      </c>
      <c r="F163" s="4" t="str">
        <f t="shared" si="4"/>
        <v/>
      </c>
      <c r="G163" s="3"/>
      <c r="H163" s="3" t="s">
        <v>137</v>
      </c>
      <c r="I163" s="3"/>
    </row>
    <row r="164" spans="1:9">
      <c r="A164" s="8"/>
      <c r="B164" s="3"/>
      <c r="C164" s="3"/>
      <c r="D164" s="5"/>
      <c r="E164" s="4" t="str">
        <f>IF(D164&gt;0,Parametri!$B$6,"")</f>
        <v/>
      </c>
      <c r="F164" s="4" t="str">
        <f t="shared" ref="F164:F195" si="5">IF(OR(D164="",E164=""),"",D164*E164)</f>
        <v/>
      </c>
      <c r="G164" s="3"/>
      <c r="H164" s="3" t="s">
        <v>137</v>
      </c>
      <c r="I164" s="3"/>
    </row>
    <row r="165" spans="1:9">
      <c r="A165" s="8"/>
      <c r="B165" s="3"/>
      <c r="C165" s="3"/>
      <c r="D165" s="5"/>
      <c r="E165" s="4" t="str">
        <f>IF(D165&gt;0,Parametri!$B$6,"")</f>
        <v/>
      </c>
      <c r="F165" s="4" t="str">
        <f t="shared" si="5"/>
        <v/>
      </c>
      <c r="G165" s="3"/>
      <c r="H165" s="3" t="s">
        <v>137</v>
      </c>
      <c r="I165" s="3"/>
    </row>
    <row r="166" spans="1:9">
      <c r="A166" s="8"/>
      <c r="B166" s="3"/>
      <c r="C166" s="3"/>
      <c r="D166" s="5"/>
      <c r="E166" s="4" t="str">
        <f>IF(D166&gt;0,Parametri!$B$6,"")</f>
        <v/>
      </c>
      <c r="F166" s="4" t="str">
        <f t="shared" si="5"/>
        <v/>
      </c>
      <c r="G166" s="3"/>
      <c r="H166" s="3" t="s">
        <v>137</v>
      </c>
      <c r="I166" s="3"/>
    </row>
    <row r="167" spans="1:9">
      <c r="A167" s="8"/>
      <c r="B167" s="3"/>
      <c r="C167" s="3"/>
      <c r="D167" s="5"/>
      <c r="E167" s="4" t="str">
        <f>IF(D167&gt;0,Parametri!$B$6,"")</f>
        <v/>
      </c>
      <c r="F167" s="4" t="str">
        <f t="shared" si="5"/>
        <v/>
      </c>
      <c r="G167" s="3"/>
      <c r="H167" s="3" t="s">
        <v>137</v>
      </c>
      <c r="I167" s="3"/>
    </row>
    <row r="168" spans="1:9">
      <c r="A168" s="8"/>
      <c r="B168" s="3"/>
      <c r="C168" s="3"/>
      <c r="D168" s="5"/>
      <c r="E168" s="4" t="str">
        <f>IF(D168&gt;0,Parametri!$B$6,"")</f>
        <v/>
      </c>
      <c r="F168" s="4" t="str">
        <f t="shared" si="5"/>
        <v/>
      </c>
      <c r="G168" s="3"/>
      <c r="H168" s="3" t="s">
        <v>137</v>
      </c>
      <c r="I168" s="3"/>
    </row>
    <row r="169" spans="1:9">
      <c r="A169" s="8"/>
      <c r="B169" s="3"/>
      <c r="C169" s="3"/>
      <c r="D169" s="5"/>
      <c r="E169" s="4" t="str">
        <f>IF(D169&gt;0,Parametri!$B$6,"")</f>
        <v/>
      </c>
      <c r="F169" s="4" t="str">
        <f t="shared" si="5"/>
        <v/>
      </c>
      <c r="G169" s="3"/>
      <c r="H169" s="3" t="s">
        <v>137</v>
      </c>
      <c r="I169" s="3"/>
    </row>
    <row r="170" spans="1:9">
      <c r="A170" s="8"/>
      <c r="B170" s="3"/>
      <c r="C170" s="3"/>
      <c r="D170" s="5"/>
      <c r="E170" s="4" t="str">
        <f>IF(D170&gt;0,Parametri!$B$6,"")</f>
        <v/>
      </c>
      <c r="F170" s="4" t="str">
        <f t="shared" si="5"/>
        <v/>
      </c>
      <c r="G170" s="3"/>
      <c r="H170" s="3" t="s">
        <v>137</v>
      </c>
      <c r="I170" s="3"/>
    </row>
    <row r="171" spans="1:9">
      <c r="A171" s="8"/>
      <c r="B171" s="3"/>
      <c r="C171" s="3"/>
      <c r="D171" s="5"/>
      <c r="E171" s="4" t="str">
        <f>IF(D171&gt;0,Parametri!$B$6,"")</f>
        <v/>
      </c>
      <c r="F171" s="4" t="str">
        <f t="shared" si="5"/>
        <v/>
      </c>
      <c r="G171" s="3"/>
      <c r="H171" s="3" t="s">
        <v>137</v>
      </c>
      <c r="I171" s="3"/>
    </row>
    <row r="172" spans="1:9">
      <c r="A172" s="8"/>
      <c r="B172" s="3"/>
      <c r="C172" s="3"/>
      <c r="D172" s="5"/>
      <c r="E172" s="4" t="str">
        <f>IF(D172&gt;0,Parametri!$B$6,"")</f>
        <v/>
      </c>
      <c r="F172" s="4" t="str">
        <f t="shared" si="5"/>
        <v/>
      </c>
      <c r="G172" s="3"/>
      <c r="H172" s="3" t="s">
        <v>137</v>
      </c>
      <c r="I172" s="3"/>
    </row>
    <row r="173" spans="1:9">
      <c r="A173" s="8"/>
      <c r="B173" s="3"/>
      <c r="C173" s="3"/>
      <c r="D173" s="5"/>
      <c r="E173" s="4" t="str">
        <f>IF(D173&gt;0,Parametri!$B$6,"")</f>
        <v/>
      </c>
      <c r="F173" s="4" t="str">
        <f t="shared" si="5"/>
        <v/>
      </c>
      <c r="G173" s="3"/>
      <c r="H173" s="3" t="s">
        <v>137</v>
      </c>
      <c r="I173" s="3"/>
    </row>
    <row r="174" spans="1:9">
      <c r="A174" s="8"/>
      <c r="B174" s="3"/>
      <c r="C174" s="3"/>
      <c r="D174" s="5"/>
      <c r="E174" s="4" t="str">
        <f>IF(D174&gt;0,Parametri!$B$6,"")</f>
        <v/>
      </c>
      <c r="F174" s="4" t="str">
        <f t="shared" si="5"/>
        <v/>
      </c>
      <c r="G174" s="3"/>
      <c r="H174" s="3" t="s">
        <v>137</v>
      </c>
      <c r="I174" s="3"/>
    </row>
    <row r="175" spans="1:9">
      <c r="A175" s="8"/>
      <c r="B175" s="3"/>
      <c r="C175" s="3"/>
      <c r="D175" s="5"/>
      <c r="E175" s="4" t="str">
        <f>IF(D175&gt;0,Parametri!$B$6,"")</f>
        <v/>
      </c>
      <c r="F175" s="4" t="str">
        <f t="shared" si="5"/>
        <v/>
      </c>
      <c r="G175" s="3"/>
      <c r="H175" s="3" t="s">
        <v>137</v>
      </c>
      <c r="I175" s="3"/>
    </row>
    <row r="176" spans="1:9">
      <c r="A176" s="8"/>
      <c r="B176" s="3"/>
      <c r="C176" s="3"/>
      <c r="D176" s="5"/>
      <c r="E176" s="4" t="str">
        <f>IF(D176&gt;0,Parametri!$B$6,"")</f>
        <v/>
      </c>
      <c r="F176" s="4" t="str">
        <f t="shared" si="5"/>
        <v/>
      </c>
      <c r="G176" s="3"/>
      <c r="H176" s="3" t="s">
        <v>137</v>
      </c>
      <c r="I176" s="3"/>
    </row>
    <row r="177" spans="1:9">
      <c r="A177" s="8"/>
      <c r="B177" s="3"/>
      <c r="C177" s="3"/>
      <c r="D177" s="5"/>
      <c r="E177" s="4" t="str">
        <f>IF(D177&gt;0,Parametri!$B$6,"")</f>
        <v/>
      </c>
      <c r="F177" s="4" t="str">
        <f t="shared" si="5"/>
        <v/>
      </c>
      <c r="G177" s="3"/>
      <c r="H177" s="3" t="s">
        <v>137</v>
      </c>
      <c r="I177" s="3"/>
    </row>
    <row r="178" spans="1:9">
      <c r="A178" s="8"/>
      <c r="B178" s="3"/>
      <c r="C178" s="3"/>
      <c r="D178" s="5"/>
      <c r="E178" s="4" t="str">
        <f>IF(D178&gt;0,Parametri!$B$6,"")</f>
        <v/>
      </c>
      <c r="F178" s="4" t="str">
        <f t="shared" si="5"/>
        <v/>
      </c>
      <c r="G178" s="3"/>
      <c r="H178" s="3" t="s">
        <v>137</v>
      </c>
      <c r="I178" s="3"/>
    </row>
    <row r="179" spans="1:9">
      <c r="A179" s="8"/>
      <c r="B179" s="3"/>
      <c r="C179" s="3"/>
      <c r="D179" s="5"/>
      <c r="E179" s="4" t="str">
        <f>IF(D179&gt;0,Parametri!$B$6,"")</f>
        <v/>
      </c>
      <c r="F179" s="4" t="str">
        <f t="shared" si="5"/>
        <v/>
      </c>
      <c r="G179" s="3"/>
      <c r="H179" s="3" t="s">
        <v>137</v>
      </c>
      <c r="I179" s="3"/>
    </row>
    <row r="180" spans="1:9">
      <c r="A180" s="8"/>
      <c r="B180" s="3"/>
      <c r="C180" s="3"/>
      <c r="D180" s="5"/>
      <c r="E180" s="4" t="str">
        <f>IF(D180&gt;0,Parametri!$B$6,"")</f>
        <v/>
      </c>
      <c r="F180" s="4" t="str">
        <f t="shared" si="5"/>
        <v/>
      </c>
      <c r="G180" s="3"/>
      <c r="H180" s="3" t="s">
        <v>137</v>
      </c>
      <c r="I180" s="3"/>
    </row>
    <row r="181" spans="1:9">
      <c r="A181" s="8"/>
      <c r="B181" s="3"/>
      <c r="C181" s="3"/>
      <c r="D181" s="5"/>
      <c r="E181" s="4" t="str">
        <f>IF(D181&gt;0,Parametri!$B$6,"")</f>
        <v/>
      </c>
      <c r="F181" s="4" t="str">
        <f t="shared" si="5"/>
        <v/>
      </c>
      <c r="G181" s="3"/>
      <c r="H181" s="3" t="s">
        <v>137</v>
      </c>
      <c r="I181" s="3"/>
    </row>
    <row r="182" spans="1:9">
      <c r="A182" s="8"/>
      <c r="B182" s="3"/>
      <c r="C182" s="3"/>
      <c r="D182" s="5"/>
      <c r="E182" s="4" t="str">
        <f>IF(D182&gt;0,Parametri!$B$6,"")</f>
        <v/>
      </c>
      <c r="F182" s="4" t="str">
        <f t="shared" si="5"/>
        <v/>
      </c>
      <c r="G182" s="3"/>
      <c r="H182" s="3" t="s">
        <v>137</v>
      </c>
      <c r="I182" s="3"/>
    </row>
    <row r="183" spans="1:9">
      <c r="A183" s="8"/>
      <c r="B183" s="3"/>
      <c r="C183" s="3"/>
      <c r="D183" s="5"/>
      <c r="E183" s="4" t="str">
        <f>IF(D183&gt;0,Parametri!$B$6,"")</f>
        <v/>
      </c>
      <c r="F183" s="4" t="str">
        <f t="shared" si="5"/>
        <v/>
      </c>
      <c r="G183" s="3"/>
      <c r="H183" s="3" t="s">
        <v>137</v>
      </c>
      <c r="I183" s="3"/>
    </row>
    <row r="184" spans="1:9">
      <c r="A184" s="8"/>
      <c r="B184" s="3"/>
      <c r="C184" s="3"/>
      <c r="D184" s="5"/>
      <c r="E184" s="4" t="str">
        <f>IF(D184&gt;0,Parametri!$B$6,"")</f>
        <v/>
      </c>
      <c r="F184" s="4" t="str">
        <f t="shared" si="5"/>
        <v/>
      </c>
      <c r="G184" s="3"/>
      <c r="H184" s="3" t="s">
        <v>137</v>
      </c>
      <c r="I184" s="3"/>
    </row>
    <row r="185" spans="1:9">
      <c r="A185" s="8"/>
      <c r="B185" s="3"/>
      <c r="C185" s="3"/>
      <c r="D185" s="5"/>
      <c r="E185" s="4" t="str">
        <f>IF(D185&gt;0,Parametri!$B$6,"")</f>
        <v/>
      </c>
      <c r="F185" s="4" t="str">
        <f t="shared" si="5"/>
        <v/>
      </c>
      <c r="G185" s="3"/>
      <c r="H185" s="3" t="s">
        <v>137</v>
      </c>
      <c r="I185" s="3"/>
    </row>
    <row r="186" spans="1:9">
      <c r="A186" s="8"/>
      <c r="B186" s="3"/>
      <c r="C186" s="3"/>
      <c r="D186" s="5"/>
      <c r="E186" s="4" t="str">
        <f>IF(D186&gt;0,Parametri!$B$6,"")</f>
        <v/>
      </c>
      <c r="F186" s="4" t="str">
        <f t="shared" si="5"/>
        <v/>
      </c>
      <c r="G186" s="3"/>
      <c r="H186" s="3" t="s">
        <v>137</v>
      </c>
      <c r="I186" s="3"/>
    </row>
    <row r="187" spans="1:9">
      <c r="A187" s="8"/>
      <c r="B187" s="3"/>
      <c r="C187" s="3"/>
      <c r="D187" s="5"/>
      <c r="E187" s="4" t="str">
        <f>IF(D187&gt;0,Parametri!$B$6,"")</f>
        <v/>
      </c>
      <c r="F187" s="4" t="str">
        <f t="shared" si="5"/>
        <v/>
      </c>
      <c r="G187" s="3"/>
      <c r="H187" s="3" t="s">
        <v>137</v>
      </c>
      <c r="I187" s="3"/>
    </row>
    <row r="188" spans="1:9">
      <c r="A188" s="8"/>
      <c r="B188" s="3"/>
      <c r="C188" s="3"/>
      <c r="D188" s="5"/>
      <c r="E188" s="4" t="str">
        <f>IF(D188&gt;0,Parametri!$B$6,"")</f>
        <v/>
      </c>
      <c r="F188" s="4" t="str">
        <f t="shared" si="5"/>
        <v/>
      </c>
      <c r="G188" s="3"/>
      <c r="H188" s="3" t="s">
        <v>137</v>
      </c>
      <c r="I188" s="3"/>
    </row>
    <row r="189" spans="1:9">
      <c r="A189" s="8"/>
      <c r="B189" s="3"/>
      <c r="C189" s="3"/>
      <c r="D189" s="5"/>
      <c r="E189" s="4" t="str">
        <f>IF(D189&gt;0,Parametri!$B$6,"")</f>
        <v/>
      </c>
      <c r="F189" s="4" t="str">
        <f t="shared" si="5"/>
        <v/>
      </c>
      <c r="G189" s="3"/>
      <c r="H189" s="3" t="s">
        <v>137</v>
      </c>
      <c r="I189" s="3"/>
    </row>
    <row r="190" spans="1:9">
      <c r="A190" s="8"/>
      <c r="B190" s="3"/>
      <c r="C190" s="3"/>
      <c r="D190" s="5"/>
      <c r="E190" s="4" t="str">
        <f>IF(D190&gt;0,Parametri!$B$6,"")</f>
        <v/>
      </c>
      <c r="F190" s="4" t="str">
        <f t="shared" si="5"/>
        <v/>
      </c>
      <c r="G190" s="3"/>
      <c r="H190" s="3" t="s">
        <v>137</v>
      </c>
      <c r="I190" s="3"/>
    </row>
    <row r="191" spans="1:9">
      <c r="A191" s="8"/>
      <c r="B191" s="3"/>
      <c r="C191" s="3"/>
      <c r="D191" s="5"/>
      <c r="E191" s="4" t="str">
        <f>IF(D191&gt;0,Parametri!$B$6,"")</f>
        <v/>
      </c>
      <c r="F191" s="4" t="str">
        <f t="shared" si="5"/>
        <v/>
      </c>
      <c r="G191" s="3"/>
      <c r="H191" s="3" t="s">
        <v>137</v>
      </c>
      <c r="I191" s="3"/>
    </row>
    <row r="192" spans="1:9">
      <c r="A192" s="8"/>
      <c r="B192" s="3"/>
      <c r="C192" s="3"/>
      <c r="D192" s="5"/>
      <c r="E192" s="4" t="str">
        <f>IF(D192&gt;0,Parametri!$B$6,"")</f>
        <v/>
      </c>
      <c r="F192" s="4" t="str">
        <f t="shared" si="5"/>
        <v/>
      </c>
      <c r="G192" s="3"/>
      <c r="H192" s="3" t="s">
        <v>137</v>
      </c>
      <c r="I192" s="3"/>
    </row>
    <row r="193" spans="1:9">
      <c r="A193" s="8"/>
      <c r="B193" s="3"/>
      <c r="C193" s="3"/>
      <c r="D193" s="5"/>
      <c r="E193" s="4" t="str">
        <f>IF(D193&gt;0,Parametri!$B$6,"")</f>
        <v/>
      </c>
      <c r="F193" s="4" t="str">
        <f t="shared" si="5"/>
        <v/>
      </c>
      <c r="G193" s="3"/>
      <c r="H193" s="3" t="s">
        <v>137</v>
      </c>
      <c r="I193" s="3"/>
    </row>
    <row r="194" spans="1:9">
      <c r="A194" s="8"/>
      <c r="B194" s="3"/>
      <c r="C194" s="3"/>
      <c r="D194" s="5"/>
      <c r="E194" s="4" t="str">
        <f>IF(D194&gt;0,Parametri!$B$6,"")</f>
        <v/>
      </c>
      <c r="F194" s="4" t="str">
        <f t="shared" si="5"/>
        <v/>
      </c>
      <c r="G194" s="3"/>
      <c r="H194" s="3" t="s">
        <v>137</v>
      </c>
      <c r="I194" s="3"/>
    </row>
    <row r="195" spans="1:9">
      <c r="A195" s="8"/>
      <c r="B195" s="3"/>
      <c r="C195" s="3"/>
      <c r="D195" s="5"/>
      <c r="E195" s="4" t="str">
        <f>IF(D195&gt;0,Parametri!$B$6,"")</f>
        <v/>
      </c>
      <c r="F195" s="4" t="str">
        <f t="shared" si="5"/>
        <v/>
      </c>
      <c r="G195" s="3"/>
      <c r="H195" s="3" t="s">
        <v>137</v>
      </c>
      <c r="I195" s="3"/>
    </row>
    <row r="196" spans="1:9">
      <c r="A196" s="8"/>
      <c r="B196" s="3"/>
      <c r="C196" s="3"/>
      <c r="D196" s="5"/>
      <c r="E196" s="4" t="str">
        <f>IF(D196&gt;0,Parametri!$B$6,"")</f>
        <v/>
      </c>
      <c r="F196" s="4" t="str">
        <f t="shared" ref="F196:F203" si="6">IF(OR(D196="",E196=""),"",D196*E196)</f>
        <v/>
      </c>
      <c r="G196" s="3"/>
      <c r="H196" s="3" t="s">
        <v>137</v>
      </c>
      <c r="I196" s="3"/>
    </row>
    <row r="197" spans="1:9">
      <c r="A197" s="8"/>
      <c r="B197" s="3"/>
      <c r="C197" s="3"/>
      <c r="D197" s="5"/>
      <c r="E197" s="4" t="str">
        <f>IF(D197&gt;0,Parametri!$B$6,"")</f>
        <v/>
      </c>
      <c r="F197" s="4" t="str">
        <f t="shared" si="6"/>
        <v/>
      </c>
      <c r="G197" s="3"/>
      <c r="H197" s="3" t="s">
        <v>137</v>
      </c>
      <c r="I197" s="3"/>
    </row>
    <row r="198" spans="1:9">
      <c r="A198" s="8"/>
      <c r="B198" s="3"/>
      <c r="C198" s="3"/>
      <c r="D198" s="5"/>
      <c r="E198" s="4" t="str">
        <f>IF(D198&gt;0,Parametri!$B$6,"")</f>
        <v/>
      </c>
      <c r="F198" s="4" t="str">
        <f t="shared" si="6"/>
        <v/>
      </c>
      <c r="G198" s="3"/>
      <c r="H198" s="3" t="s">
        <v>137</v>
      </c>
      <c r="I198" s="3"/>
    </row>
    <row r="199" spans="1:9">
      <c r="A199" s="8"/>
      <c r="B199" s="3"/>
      <c r="C199" s="3"/>
      <c r="D199" s="5"/>
      <c r="E199" s="4" t="str">
        <f>IF(D199&gt;0,Parametri!$B$6,"")</f>
        <v/>
      </c>
      <c r="F199" s="4" t="str">
        <f t="shared" si="6"/>
        <v/>
      </c>
      <c r="G199" s="3"/>
      <c r="H199" s="3" t="s">
        <v>137</v>
      </c>
      <c r="I199" s="3"/>
    </row>
    <row r="200" spans="1:9">
      <c r="A200" s="8"/>
      <c r="B200" s="3"/>
      <c r="C200" s="3"/>
      <c r="D200" s="5"/>
      <c r="E200" s="4" t="str">
        <f>IF(D200&gt;0,Parametri!$B$6,"")</f>
        <v/>
      </c>
      <c r="F200" s="4" t="str">
        <f t="shared" si="6"/>
        <v/>
      </c>
      <c r="G200" s="3"/>
      <c r="H200" s="3" t="s">
        <v>137</v>
      </c>
      <c r="I200" s="3"/>
    </row>
    <row r="201" spans="1:9">
      <c r="A201" s="8"/>
      <c r="B201" s="3"/>
      <c r="C201" s="3"/>
      <c r="D201" s="5"/>
      <c r="E201" s="4" t="str">
        <f>IF(D201&gt;0,Parametri!$B$6,"")</f>
        <v/>
      </c>
      <c r="F201" s="4" t="str">
        <f t="shared" si="6"/>
        <v/>
      </c>
      <c r="G201" s="3"/>
      <c r="H201" s="3" t="s">
        <v>137</v>
      </c>
      <c r="I201" s="3"/>
    </row>
    <row r="202" spans="1:9">
      <c r="A202" s="8"/>
      <c r="B202" s="3"/>
      <c r="C202" s="3"/>
      <c r="D202" s="5"/>
      <c r="E202" s="4" t="str">
        <f>IF(D202&gt;0,Parametri!$B$6,"")</f>
        <v/>
      </c>
      <c r="F202" s="4" t="str">
        <f t="shared" si="6"/>
        <v/>
      </c>
      <c r="G202" s="3"/>
      <c r="H202" s="3" t="s">
        <v>137</v>
      </c>
      <c r="I202" s="3"/>
    </row>
    <row r="203" spans="1:9">
      <c r="A203" s="8"/>
      <c r="B203" s="3"/>
      <c r="C203" s="3"/>
      <c r="D203" s="5"/>
      <c r="E203" s="4" t="str">
        <f>IF(D203&gt;0,Parametri!$B$6,"")</f>
        <v/>
      </c>
      <c r="F203" s="4" t="str">
        <f t="shared" si="6"/>
        <v/>
      </c>
      <c r="G203" s="3"/>
      <c r="H203" s="3" t="s">
        <v>137</v>
      </c>
      <c r="I203" s="3"/>
    </row>
  </sheetData>
  <mergeCells count="1">
    <mergeCell ref="A1:I1"/>
  </mergeCells>
  <conditionalFormatting sqref="H4:H203">
    <cfRule type="expression" dxfId="17" priority="1">
      <formula>H4="Pagato"</formula>
    </cfRule>
    <cfRule type="expression" dxfId="16" priority="2">
      <formula>H4="Da pagare"</formula>
    </cfRule>
    <cfRule type="expression" dxfId="15" priority="3">
      <formula>H4="Parziale"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303"/>
  <sheetViews>
    <sheetView tabSelected="1" topLeftCell="A14" zoomScale="150" workbookViewId="0">
      <selection activeCell="J37" sqref="J37"/>
    </sheetView>
  </sheetViews>
  <sheetFormatPr baseColWidth="10" defaultColWidth="8.83203125" defaultRowHeight="15"/>
  <cols>
    <col min="1" max="1" width="14" style="1" customWidth="1"/>
    <col min="2" max="2" width="24" style="1" customWidth="1"/>
    <col min="3" max="3" width="28" style="1" customWidth="1"/>
    <col min="4" max="4" width="12" style="1" customWidth="1"/>
    <col min="5" max="5" width="12.6640625" style="1" customWidth="1"/>
    <col min="6" max="6" width="7" style="1" customWidth="1"/>
    <col min="7" max="7" width="11.6640625" style="1" customWidth="1"/>
    <col min="8" max="8" width="9.5" style="1" customWidth="1"/>
    <col min="9" max="9" width="14" style="1" customWidth="1"/>
    <col min="10" max="10" width="16" style="1" customWidth="1"/>
    <col min="11" max="11" width="36" style="1" customWidth="1"/>
    <col min="12" max="12" width="20" customWidth="1"/>
    <col min="13" max="16384" width="8.83203125" style="1"/>
  </cols>
  <sheetData>
    <row r="1" spans="1:12" ht="49.75" customHeight="1">
      <c r="A1" s="30" t="s">
        <v>138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t="s">
        <v>205</v>
      </c>
    </row>
    <row r="3" spans="1:12" ht="42.75" customHeight="1">
      <c r="A3" s="2" t="s">
        <v>125</v>
      </c>
      <c r="B3" s="2" t="s">
        <v>139</v>
      </c>
      <c r="C3" s="2" t="s">
        <v>140</v>
      </c>
      <c r="D3" s="2" t="s">
        <v>128</v>
      </c>
      <c r="E3" s="2" t="s">
        <v>141</v>
      </c>
      <c r="F3" s="2" t="s">
        <v>142</v>
      </c>
      <c r="G3" s="2" t="s">
        <v>143</v>
      </c>
      <c r="H3" s="2" t="s">
        <v>144</v>
      </c>
      <c r="I3" s="2" t="s">
        <v>145</v>
      </c>
      <c r="J3" s="2" t="s">
        <v>98</v>
      </c>
      <c r="K3" s="2" t="s">
        <v>15</v>
      </c>
      <c r="L3" t="s">
        <v>206</v>
      </c>
    </row>
    <row r="4" spans="1:12">
      <c r="A4" s="8" t="s">
        <v>101</v>
      </c>
      <c r="B4" s="3" t="s">
        <v>100</v>
      </c>
      <c r="C4" s="3" t="s">
        <v>146</v>
      </c>
      <c r="D4" s="5">
        <v>2</v>
      </c>
      <c r="E4" s="13">
        <v>15</v>
      </c>
      <c r="F4" s="4">
        <v>0</v>
      </c>
      <c r="G4" s="4">
        <v>0</v>
      </c>
      <c r="H4" s="4">
        <f t="shared" ref="H4:H67" si="0">IF(F4="","",F4-G4)</f>
        <v>0</v>
      </c>
      <c r="I4" s="3" t="s">
        <v>147</v>
      </c>
      <c r="J4" s="3"/>
      <c r="K4" s="3"/>
    </row>
    <row r="5" spans="1:12">
      <c r="A5" s="8" t="s">
        <v>101</v>
      </c>
      <c r="B5" s="3" t="s">
        <v>108</v>
      </c>
      <c r="C5" s="3" t="s">
        <v>146</v>
      </c>
      <c r="D5" s="5">
        <v>2</v>
      </c>
      <c r="E5" s="13">
        <v>15</v>
      </c>
      <c r="F5" s="4">
        <v>0</v>
      </c>
      <c r="G5" s="4">
        <v>0</v>
      </c>
      <c r="H5" s="4">
        <f t="shared" si="0"/>
        <v>0</v>
      </c>
      <c r="I5" s="3" t="s">
        <v>147</v>
      </c>
      <c r="J5" s="3"/>
      <c r="K5" s="3"/>
    </row>
    <row r="6" spans="1:12">
      <c r="A6" s="8" t="s">
        <v>101</v>
      </c>
      <c r="B6" s="3" t="s">
        <v>115</v>
      </c>
      <c r="C6" s="3" t="s">
        <v>146</v>
      </c>
      <c r="D6" s="5">
        <v>2</v>
      </c>
      <c r="E6" s="13">
        <v>15</v>
      </c>
      <c r="F6" s="4">
        <v>0</v>
      </c>
      <c r="G6" s="4">
        <v>0</v>
      </c>
      <c r="H6" s="4">
        <f t="shared" si="0"/>
        <v>0</v>
      </c>
      <c r="I6" s="3" t="s">
        <v>147</v>
      </c>
      <c r="J6" s="3"/>
      <c r="K6" s="3"/>
    </row>
    <row r="7" spans="1:12">
      <c r="A7" s="8" t="s">
        <v>101</v>
      </c>
      <c r="B7" s="3" t="s">
        <v>116</v>
      </c>
      <c r="C7" s="3" t="s">
        <v>146</v>
      </c>
      <c r="D7" s="5">
        <v>2</v>
      </c>
      <c r="E7" s="13">
        <v>15</v>
      </c>
      <c r="F7" s="4">
        <v>0</v>
      </c>
      <c r="G7" s="4">
        <v>0</v>
      </c>
      <c r="H7" s="4">
        <f t="shared" si="0"/>
        <v>0</v>
      </c>
      <c r="I7" s="3" t="s">
        <v>147</v>
      </c>
      <c r="J7" s="3"/>
      <c r="K7" s="3"/>
    </row>
    <row r="8" spans="1:12">
      <c r="A8" s="8" t="s">
        <v>101</v>
      </c>
      <c r="B8" s="3" t="s">
        <v>112</v>
      </c>
      <c r="C8" s="3" t="s">
        <v>146</v>
      </c>
      <c r="D8" s="5">
        <v>2</v>
      </c>
      <c r="E8" s="13">
        <v>15</v>
      </c>
      <c r="F8" s="4">
        <v>0</v>
      </c>
      <c r="G8" s="4">
        <v>0</v>
      </c>
      <c r="H8" s="4">
        <f t="shared" si="0"/>
        <v>0</v>
      </c>
      <c r="I8" s="3" t="s">
        <v>147</v>
      </c>
      <c r="J8" s="3"/>
      <c r="K8" s="3"/>
    </row>
    <row r="9" spans="1:12">
      <c r="A9" s="8" t="s">
        <v>101</v>
      </c>
      <c r="B9" s="3" t="s">
        <v>118</v>
      </c>
      <c r="C9" s="3" t="s">
        <v>146</v>
      </c>
      <c r="D9" s="5">
        <v>2</v>
      </c>
      <c r="E9" s="13">
        <v>15</v>
      </c>
      <c r="F9" s="4">
        <v>0</v>
      </c>
      <c r="G9" s="4">
        <v>0</v>
      </c>
      <c r="H9" s="4">
        <f t="shared" si="0"/>
        <v>0</v>
      </c>
      <c r="I9" s="3" t="s">
        <v>147</v>
      </c>
      <c r="J9" s="3"/>
      <c r="K9" s="3"/>
    </row>
    <row r="10" spans="1:12">
      <c r="A10" s="8" t="s">
        <v>101</v>
      </c>
      <c r="B10" s="3" t="s">
        <v>148</v>
      </c>
      <c r="C10" s="3" t="s">
        <v>146</v>
      </c>
      <c r="D10" s="5">
        <v>1</v>
      </c>
      <c r="E10" s="13">
        <v>15</v>
      </c>
      <c r="F10" s="4">
        <v>0</v>
      </c>
      <c r="G10" s="4">
        <v>0</v>
      </c>
      <c r="H10" s="4">
        <f t="shared" si="0"/>
        <v>0</v>
      </c>
      <c r="I10" s="3" t="s">
        <v>147</v>
      </c>
      <c r="J10" s="3"/>
      <c r="K10" s="3"/>
    </row>
    <row r="11" spans="1:12">
      <c r="A11" s="8" t="s">
        <v>120</v>
      </c>
      <c r="B11" s="3" t="s">
        <v>149</v>
      </c>
      <c r="C11" s="3" t="s">
        <v>146</v>
      </c>
      <c r="D11" s="5">
        <v>2</v>
      </c>
      <c r="E11" s="13">
        <v>12</v>
      </c>
      <c r="F11" s="4">
        <f t="shared" ref="F11:F74" si="1">IF(OR(D11="",E11=""),"",D11*E11)</f>
        <v>24</v>
      </c>
      <c r="G11" s="4">
        <f>IF(D11="","",D11*Parametri!$B$6)</f>
        <v>5.4</v>
      </c>
      <c r="H11" s="4">
        <f t="shared" si="0"/>
        <v>18.600000000000001</v>
      </c>
      <c r="I11" s="3" t="s">
        <v>147</v>
      </c>
      <c r="J11" s="3" t="s">
        <v>150</v>
      </c>
      <c r="K11" s="3" t="s">
        <v>151</v>
      </c>
    </row>
    <row r="12" spans="1:12">
      <c r="A12" s="8" t="s">
        <v>120</v>
      </c>
      <c r="B12" s="3" t="s">
        <v>152</v>
      </c>
      <c r="C12" s="3" t="s">
        <v>146</v>
      </c>
      <c r="D12" s="5">
        <v>1</v>
      </c>
      <c r="E12" s="13">
        <v>12</v>
      </c>
      <c r="F12" s="4">
        <f t="shared" si="1"/>
        <v>12</v>
      </c>
      <c r="G12" s="4">
        <f>IF(D12="","",D12*Parametri!$B$6)</f>
        <v>2.7</v>
      </c>
      <c r="H12" s="4">
        <f t="shared" si="0"/>
        <v>9.3000000000000007</v>
      </c>
      <c r="I12" s="3" t="s">
        <v>147</v>
      </c>
      <c r="J12" s="3" t="s">
        <v>102</v>
      </c>
      <c r="K12" s="3" t="s">
        <v>151</v>
      </c>
    </row>
    <row r="13" spans="1:12">
      <c r="A13" s="8" t="s">
        <v>153</v>
      </c>
      <c r="B13" s="3" t="s">
        <v>154</v>
      </c>
      <c r="C13" s="3" t="s">
        <v>146</v>
      </c>
      <c r="D13" s="5">
        <v>1</v>
      </c>
      <c r="E13" s="13">
        <v>12</v>
      </c>
      <c r="F13" s="4">
        <f t="shared" si="1"/>
        <v>12</v>
      </c>
      <c r="G13" s="4">
        <f>IF(D13="","",D13*Parametri!$B$6)</f>
        <v>2.7</v>
      </c>
      <c r="H13" s="4">
        <f t="shared" si="0"/>
        <v>9.3000000000000007</v>
      </c>
      <c r="I13" s="3" t="s">
        <v>147</v>
      </c>
      <c r="J13" s="3" t="s">
        <v>102</v>
      </c>
      <c r="K13" s="3" t="s">
        <v>151</v>
      </c>
    </row>
    <row r="14" spans="1:12">
      <c r="A14" s="8" t="s">
        <v>155</v>
      </c>
      <c r="B14" s="3" t="s">
        <v>156</v>
      </c>
      <c r="C14" s="3" t="s">
        <v>146</v>
      </c>
      <c r="D14" s="5">
        <v>2</v>
      </c>
      <c r="E14" s="13">
        <v>12</v>
      </c>
      <c r="F14" s="4">
        <f t="shared" si="1"/>
        <v>24</v>
      </c>
      <c r="G14" s="4">
        <f>IF(D14="","",D14*Parametri!$B$6)</f>
        <v>5.4</v>
      </c>
      <c r="H14" s="4">
        <f t="shared" si="0"/>
        <v>18.600000000000001</v>
      </c>
      <c r="I14" s="3" t="s">
        <v>147</v>
      </c>
      <c r="J14" s="3" t="s">
        <v>102</v>
      </c>
      <c r="K14" s="3" t="s">
        <v>151</v>
      </c>
    </row>
    <row r="15" spans="1:12">
      <c r="A15" s="8" t="s">
        <v>155</v>
      </c>
      <c r="B15" s="3" t="s">
        <v>157</v>
      </c>
      <c r="C15" s="3" t="s">
        <v>146</v>
      </c>
      <c r="D15" s="5">
        <v>1</v>
      </c>
      <c r="E15" s="13">
        <v>12</v>
      </c>
      <c r="F15" s="4">
        <f t="shared" si="1"/>
        <v>12</v>
      </c>
      <c r="G15" s="4">
        <f>IF(D15="","",D15*Parametri!$B$6)</f>
        <v>2.7</v>
      </c>
      <c r="H15" s="4">
        <f t="shared" si="0"/>
        <v>9.3000000000000007</v>
      </c>
      <c r="I15" s="3" t="s">
        <v>147</v>
      </c>
      <c r="J15" s="3" t="s">
        <v>150</v>
      </c>
      <c r="K15" s="3" t="s">
        <v>151</v>
      </c>
    </row>
    <row r="16" spans="1:12">
      <c r="A16" s="8" t="s">
        <v>155</v>
      </c>
      <c r="B16" s="3" t="s">
        <v>156</v>
      </c>
      <c r="C16" s="3" t="s">
        <v>146</v>
      </c>
      <c r="D16" s="5">
        <v>1</v>
      </c>
      <c r="E16" s="13">
        <v>12</v>
      </c>
      <c r="F16" s="4">
        <v>0</v>
      </c>
      <c r="G16" s="4">
        <v>0</v>
      </c>
      <c r="H16" s="4">
        <v>0</v>
      </c>
      <c r="I16" s="3" t="s">
        <v>147</v>
      </c>
      <c r="J16" s="3"/>
      <c r="K16" s="3"/>
    </row>
    <row r="17" spans="1:12">
      <c r="A17" s="8" t="s">
        <v>155</v>
      </c>
      <c r="B17" s="3" t="s">
        <v>109</v>
      </c>
      <c r="C17" s="3" t="s">
        <v>146</v>
      </c>
      <c r="D17" s="5">
        <v>2</v>
      </c>
      <c r="E17" s="13">
        <v>12</v>
      </c>
      <c r="F17" s="4">
        <v>0</v>
      </c>
      <c r="G17" s="4">
        <v>0</v>
      </c>
      <c r="H17" s="4">
        <v>0</v>
      </c>
      <c r="I17" s="3" t="s">
        <v>147</v>
      </c>
      <c r="J17" s="3"/>
      <c r="K17" s="3"/>
    </row>
    <row r="18" spans="1:12">
      <c r="A18" s="8" t="s">
        <v>155</v>
      </c>
      <c r="B18" s="3" t="s">
        <v>106</v>
      </c>
      <c r="C18" s="3" t="s">
        <v>146</v>
      </c>
      <c r="D18" s="5">
        <v>2</v>
      </c>
      <c r="E18" s="13">
        <v>12</v>
      </c>
      <c r="F18" s="4">
        <v>0</v>
      </c>
      <c r="G18" s="4">
        <v>0</v>
      </c>
      <c r="H18" s="4">
        <v>0</v>
      </c>
      <c r="I18" s="3" t="s">
        <v>147</v>
      </c>
      <c r="J18" s="3"/>
      <c r="K18" s="3"/>
    </row>
    <row r="19" spans="1:12">
      <c r="A19" s="8" t="s">
        <v>155</v>
      </c>
      <c r="B19" s="3" t="s">
        <v>113</v>
      </c>
      <c r="C19" s="3" t="s">
        <v>146</v>
      </c>
      <c r="D19" s="5">
        <v>2</v>
      </c>
      <c r="E19" s="13">
        <v>12</v>
      </c>
      <c r="F19" s="4">
        <v>0</v>
      </c>
      <c r="G19" s="4">
        <v>0</v>
      </c>
      <c r="H19" s="4">
        <v>0</v>
      </c>
      <c r="I19" s="3" t="s">
        <v>147</v>
      </c>
      <c r="J19" s="3"/>
      <c r="K19" s="3"/>
    </row>
    <row r="20" spans="1:12">
      <c r="A20" s="8" t="s">
        <v>155</v>
      </c>
      <c r="B20" s="3" t="s">
        <v>119</v>
      </c>
      <c r="C20" s="3" t="s">
        <v>146</v>
      </c>
      <c r="D20" s="5">
        <v>2</v>
      </c>
      <c r="E20" s="13">
        <v>12</v>
      </c>
      <c r="F20" s="4">
        <v>0</v>
      </c>
      <c r="G20" s="4">
        <v>0</v>
      </c>
      <c r="H20" s="4">
        <v>0</v>
      </c>
      <c r="I20" s="3" t="s">
        <v>147</v>
      </c>
      <c r="J20" s="3"/>
      <c r="K20" s="3"/>
    </row>
    <row r="21" spans="1:12">
      <c r="A21" s="8" t="s">
        <v>155</v>
      </c>
      <c r="B21" s="3" t="s">
        <v>123</v>
      </c>
      <c r="C21" s="3" t="s">
        <v>146</v>
      </c>
      <c r="D21" s="5">
        <v>2</v>
      </c>
      <c r="E21" s="13">
        <v>12</v>
      </c>
      <c r="F21" s="4">
        <v>0</v>
      </c>
      <c r="G21" s="4">
        <v>0</v>
      </c>
      <c r="H21" s="4">
        <v>0</v>
      </c>
      <c r="I21" s="3" t="s">
        <v>147</v>
      </c>
      <c r="J21" s="3"/>
      <c r="K21" s="3"/>
    </row>
    <row r="22" spans="1:12">
      <c r="A22" s="8" t="s">
        <v>155</v>
      </c>
      <c r="B22" s="3" t="s">
        <v>117</v>
      </c>
      <c r="C22" s="3" t="s">
        <v>146</v>
      </c>
      <c r="D22" s="5">
        <v>2</v>
      </c>
      <c r="E22" s="13">
        <v>12</v>
      </c>
      <c r="F22" s="4">
        <v>0</v>
      </c>
      <c r="G22" s="4">
        <v>0</v>
      </c>
      <c r="H22" s="4">
        <v>0</v>
      </c>
      <c r="I22" s="3" t="s">
        <v>147</v>
      </c>
      <c r="J22" s="3"/>
      <c r="K22" s="3"/>
    </row>
    <row r="23" spans="1:12">
      <c r="A23" s="8" t="s">
        <v>111</v>
      </c>
      <c r="B23" s="3" t="s">
        <v>158</v>
      </c>
      <c r="C23" s="3" t="s">
        <v>146</v>
      </c>
      <c r="D23" s="5">
        <v>2</v>
      </c>
      <c r="E23" s="13">
        <v>12</v>
      </c>
      <c r="F23" s="4">
        <f t="shared" si="1"/>
        <v>24</v>
      </c>
      <c r="G23" s="4">
        <f>IF(D23="","",D23*Parametri!$B$6)</f>
        <v>5.4</v>
      </c>
      <c r="H23" s="4">
        <f t="shared" si="0"/>
        <v>18.600000000000001</v>
      </c>
      <c r="I23" s="3" t="s">
        <v>147</v>
      </c>
      <c r="J23" s="3" t="s">
        <v>105</v>
      </c>
      <c r="K23" s="3" t="s">
        <v>151</v>
      </c>
    </row>
    <row r="24" spans="1:12">
      <c r="A24" s="8" t="s">
        <v>111</v>
      </c>
      <c r="B24" s="3" t="s">
        <v>159</v>
      </c>
      <c r="C24" s="3" t="s">
        <v>146</v>
      </c>
      <c r="D24" s="5">
        <v>3</v>
      </c>
      <c r="E24" s="13">
        <v>15</v>
      </c>
      <c r="F24" s="4">
        <f t="shared" si="1"/>
        <v>45</v>
      </c>
      <c r="G24" s="4">
        <f>IF(D24="","",D24*Parametri!$B$6)</f>
        <v>8.1000000000000014</v>
      </c>
      <c r="H24" s="4">
        <f t="shared" si="0"/>
        <v>36.9</v>
      </c>
      <c r="I24" s="3" t="s">
        <v>147</v>
      </c>
      <c r="J24" s="3" t="s">
        <v>102</v>
      </c>
      <c r="K24" s="3" t="s">
        <v>151</v>
      </c>
    </row>
    <row r="25" spans="1:12">
      <c r="A25" s="8" t="s">
        <v>111</v>
      </c>
      <c r="B25" s="3" t="s">
        <v>160</v>
      </c>
      <c r="C25" s="3" t="s">
        <v>146</v>
      </c>
      <c r="D25" s="5">
        <v>1</v>
      </c>
      <c r="E25" s="13">
        <v>15</v>
      </c>
      <c r="F25" s="4">
        <f t="shared" si="1"/>
        <v>15</v>
      </c>
      <c r="G25" s="4">
        <f>IF(D25="","",D25*Parametri!$B$6)</f>
        <v>2.7</v>
      </c>
      <c r="H25" s="4">
        <f t="shared" si="0"/>
        <v>12.3</v>
      </c>
      <c r="I25" s="3" t="s">
        <v>147</v>
      </c>
      <c r="J25" s="3" t="s">
        <v>102</v>
      </c>
      <c r="K25" s="3" t="s">
        <v>151</v>
      </c>
    </row>
    <row r="26" spans="1:12">
      <c r="A26" s="8" t="s">
        <v>111</v>
      </c>
      <c r="B26" s="3" t="s">
        <v>110</v>
      </c>
      <c r="C26" s="3" t="s">
        <v>146</v>
      </c>
      <c r="D26" s="5">
        <v>2</v>
      </c>
      <c r="E26" s="13">
        <v>12</v>
      </c>
      <c r="F26" s="4">
        <v>0</v>
      </c>
      <c r="G26" s="4">
        <v>0</v>
      </c>
      <c r="H26" s="4">
        <f t="shared" si="0"/>
        <v>0</v>
      </c>
      <c r="I26" s="3" t="s">
        <v>147</v>
      </c>
      <c r="J26" s="3"/>
      <c r="K26" s="3"/>
    </row>
    <row r="27" spans="1:12">
      <c r="A27" s="14" t="s">
        <v>161</v>
      </c>
      <c r="B27" s="3" t="s">
        <v>162</v>
      </c>
      <c r="C27" s="3" t="s">
        <v>146</v>
      </c>
      <c r="D27" s="5">
        <v>1</v>
      </c>
      <c r="E27" s="13">
        <v>15</v>
      </c>
      <c r="F27" s="4">
        <f t="shared" si="1"/>
        <v>15</v>
      </c>
      <c r="G27" s="4">
        <f>IF(D27="","",D27*Parametri!$B$6)</f>
        <v>2.7</v>
      </c>
      <c r="H27" s="4">
        <f t="shared" si="0"/>
        <v>12.3</v>
      </c>
      <c r="I27" s="3" t="s">
        <v>147</v>
      </c>
      <c r="J27" s="3" t="s">
        <v>102</v>
      </c>
      <c r="K27" s="3" t="s">
        <v>151</v>
      </c>
    </row>
    <row r="28" spans="1:12">
      <c r="A28" s="14" t="s">
        <v>163</v>
      </c>
      <c r="B28" s="3" t="s">
        <v>133</v>
      </c>
      <c r="C28" s="3" t="s">
        <v>146</v>
      </c>
      <c r="D28" s="5">
        <v>1</v>
      </c>
      <c r="E28" s="13">
        <v>15</v>
      </c>
      <c r="F28" s="4">
        <v>20</v>
      </c>
      <c r="G28" s="4">
        <f>IF(D28="","",D28*Parametri!$B$6)</f>
        <v>2.7</v>
      </c>
      <c r="H28" s="4">
        <f t="shared" si="0"/>
        <v>17.3</v>
      </c>
      <c r="I28" s="3" t="s">
        <v>147</v>
      </c>
      <c r="J28" s="3" t="s">
        <v>102</v>
      </c>
      <c r="K28" s="3" t="s">
        <v>151</v>
      </c>
    </row>
    <row r="29" spans="1:12">
      <c r="A29" s="14" t="s">
        <v>226</v>
      </c>
      <c r="B29" s="3" t="s">
        <v>106</v>
      </c>
      <c r="C29" s="3" t="s">
        <v>146</v>
      </c>
      <c r="D29" s="5">
        <v>1</v>
      </c>
      <c r="E29" s="13">
        <v>12</v>
      </c>
      <c r="F29" s="4">
        <f t="shared" si="1"/>
        <v>12</v>
      </c>
      <c r="G29" s="4">
        <f>IF(D29="","",D29*Parametri!$B$6)</f>
        <v>2.7</v>
      </c>
      <c r="H29" s="4">
        <f t="shared" si="0"/>
        <v>9.3000000000000007</v>
      </c>
      <c r="I29" s="3" t="s">
        <v>147</v>
      </c>
      <c r="J29" s="3" t="s">
        <v>105</v>
      </c>
      <c r="K29" s="3"/>
    </row>
    <row r="30" spans="1:12">
      <c r="A30" s="14" t="s">
        <v>227</v>
      </c>
      <c r="B30" s="3" t="s">
        <v>228</v>
      </c>
      <c r="C30" s="3" t="s">
        <v>146</v>
      </c>
      <c r="D30" s="5">
        <v>10</v>
      </c>
      <c r="E30" s="13">
        <v>15</v>
      </c>
      <c r="F30" s="4">
        <f t="shared" si="1"/>
        <v>150</v>
      </c>
      <c r="G30" s="4">
        <f>IF(D30="","",D30*Parametri!$B$6)</f>
        <v>27</v>
      </c>
      <c r="H30" s="4">
        <f t="shared" si="0"/>
        <v>123</v>
      </c>
      <c r="I30" s="3" t="s">
        <v>147</v>
      </c>
      <c r="J30" s="3" t="s">
        <v>105</v>
      </c>
      <c r="K30" s="3"/>
      <c r="L30" t="s">
        <v>157</v>
      </c>
    </row>
    <row r="31" spans="1:12">
      <c r="A31" s="14" t="s">
        <v>229</v>
      </c>
      <c r="B31" s="3" t="s">
        <v>121</v>
      </c>
      <c r="C31" s="3" t="s">
        <v>146</v>
      </c>
      <c r="D31" s="5">
        <v>2</v>
      </c>
      <c r="E31" s="13">
        <v>12</v>
      </c>
      <c r="F31" s="4">
        <v>0</v>
      </c>
      <c r="G31" s="4">
        <f>IF(D31="","",D31*Parametri!$B$6)</f>
        <v>5.4</v>
      </c>
      <c r="H31" s="4">
        <f t="shared" si="0"/>
        <v>-5.4</v>
      </c>
      <c r="I31" s="3" t="s">
        <v>147</v>
      </c>
      <c r="J31" s="3"/>
      <c r="K31" s="3"/>
    </row>
    <row r="32" spans="1:12">
      <c r="A32" s="14" t="s">
        <v>229</v>
      </c>
      <c r="B32" s="3" t="s">
        <v>230</v>
      </c>
      <c r="C32" s="3" t="s">
        <v>146</v>
      </c>
      <c r="D32" s="5">
        <v>2</v>
      </c>
      <c r="E32" s="13">
        <v>12</v>
      </c>
      <c r="F32" s="4">
        <f t="shared" si="1"/>
        <v>24</v>
      </c>
      <c r="G32" s="4">
        <f>IF(D32="","",D32*Parametri!$B$6)</f>
        <v>5.4</v>
      </c>
      <c r="H32" s="4">
        <f t="shared" si="0"/>
        <v>18.600000000000001</v>
      </c>
      <c r="I32" s="3" t="s">
        <v>147</v>
      </c>
      <c r="J32" s="3" t="s">
        <v>105</v>
      </c>
      <c r="K32" s="3"/>
    </row>
    <row r="33" spans="1:12">
      <c r="A33" s="14" t="s">
        <v>231</v>
      </c>
      <c r="B33" s="3" t="s">
        <v>232</v>
      </c>
      <c r="C33" s="3" t="s">
        <v>146</v>
      </c>
      <c r="D33" s="5">
        <v>1</v>
      </c>
      <c r="E33" s="13">
        <v>12</v>
      </c>
      <c r="F33" s="4">
        <f t="shared" si="1"/>
        <v>12</v>
      </c>
      <c r="G33" s="4">
        <f>IF(D33="","",D33*Parametri!$B$6)</f>
        <v>2.7</v>
      </c>
      <c r="H33" s="4">
        <f t="shared" si="0"/>
        <v>9.3000000000000007</v>
      </c>
      <c r="I33" s="3" t="s">
        <v>147</v>
      </c>
      <c r="J33" s="3" t="s">
        <v>105</v>
      </c>
      <c r="K33" s="3"/>
    </row>
    <row r="34" spans="1:12">
      <c r="A34" s="14" t="s">
        <v>233</v>
      </c>
      <c r="B34" s="3" t="s">
        <v>133</v>
      </c>
      <c r="C34" s="3" t="s">
        <v>146</v>
      </c>
      <c r="D34" s="5">
        <v>10</v>
      </c>
      <c r="E34" s="13">
        <v>15</v>
      </c>
      <c r="F34" s="4">
        <f t="shared" si="1"/>
        <v>150</v>
      </c>
      <c r="G34" s="4">
        <f>IF(D34="","",D34*Parametri!$B$6)</f>
        <v>27</v>
      </c>
      <c r="H34" s="4">
        <f t="shared" si="0"/>
        <v>123</v>
      </c>
      <c r="I34" s="3" t="s">
        <v>147</v>
      </c>
      <c r="J34" s="3" t="s">
        <v>105</v>
      </c>
      <c r="K34" s="3"/>
      <c r="L34" t="s">
        <v>133</v>
      </c>
    </row>
    <row r="35" spans="1:12">
      <c r="A35" s="14" t="s">
        <v>234</v>
      </c>
      <c r="B35" s="3" t="s">
        <v>156</v>
      </c>
      <c r="C35" s="3" t="s">
        <v>146</v>
      </c>
      <c r="D35" s="5">
        <v>10</v>
      </c>
      <c r="E35" s="13">
        <v>10</v>
      </c>
      <c r="F35" s="4">
        <f t="shared" si="1"/>
        <v>100</v>
      </c>
      <c r="G35" s="4">
        <f>IF(D35="","",D35*Parametri!$B$6)</f>
        <v>27</v>
      </c>
      <c r="H35" s="4">
        <f t="shared" si="0"/>
        <v>73</v>
      </c>
      <c r="I35" s="3" t="s">
        <v>147</v>
      </c>
      <c r="J35" s="3" t="s">
        <v>105</v>
      </c>
      <c r="K35" s="3"/>
    </row>
    <row r="36" spans="1:12">
      <c r="A36" s="14" t="s">
        <v>235</v>
      </c>
      <c r="B36" s="3" t="s">
        <v>123</v>
      </c>
      <c r="C36" s="3" t="s">
        <v>146</v>
      </c>
      <c r="D36" s="5">
        <v>1</v>
      </c>
      <c r="E36" s="13">
        <v>12</v>
      </c>
      <c r="F36" s="4">
        <f t="shared" si="1"/>
        <v>12</v>
      </c>
      <c r="G36" s="4">
        <f>IF(D36="","",D36*Parametri!$B$6)</f>
        <v>2.7</v>
      </c>
      <c r="H36" s="4">
        <f t="shared" si="0"/>
        <v>9.3000000000000007</v>
      </c>
      <c r="I36" s="3" t="s">
        <v>147</v>
      </c>
      <c r="J36" s="3" t="s">
        <v>105</v>
      </c>
      <c r="K36" s="3"/>
    </row>
    <row r="37" spans="1:12">
      <c r="A37" s="14"/>
      <c r="B37" s="3"/>
      <c r="C37" s="3" t="s">
        <v>146</v>
      </c>
      <c r="D37" s="5"/>
      <c r="E37" s="13"/>
      <c r="F37" s="4" t="str">
        <f t="shared" si="1"/>
        <v/>
      </c>
      <c r="G37" s="4" t="str">
        <f>IF(D37="","",D37*Parametri!$B$6)</f>
        <v/>
      </c>
      <c r="H37" s="4" t="str">
        <f t="shared" si="0"/>
        <v/>
      </c>
      <c r="I37" s="3" t="s">
        <v>147</v>
      </c>
      <c r="J37" s="3"/>
      <c r="K37" s="3"/>
    </row>
    <row r="38" spans="1:12">
      <c r="A38" s="14"/>
      <c r="B38" s="3"/>
      <c r="C38" s="3" t="s">
        <v>146</v>
      </c>
      <c r="D38" s="5"/>
      <c r="E38" s="13"/>
      <c r="F38" s="4" t="str">
        <f t="shared" si="1"/>
        <v/>
      </c>
      <c r="G38" s="4" t="str">
        <f>IF(D38="","",D38*Parametri!$B$6)</f>
        <v/>
      </c>
      <c r="H38" s="4" t="str">
        <f t="shared" si="0"/>
        <v/>
      </c>
      <c r="I38" s="3" t="s">
        <v>147</v>
      </c>
      <c r="J38" s="3"/>
      <c r="K38" s="3"/>
    </row>
    <row r="39" spans="1:12">
      <c r="A39" s="14"/>
      <c r="B39" s="3"/>
      <c r="C39" s="3" t="s">
        <v>146</v>
      </c>
      <c r="D39" s="5"/>
      <c r="E39" s="13"/>
      <c r="F39" s="4" t="str">
        <f t="shared" si="1"/>
        <v/>
      </c>
      <c r="G39" s="4" t="str">
        <f>IF(D39="","",D39*Parametri!$B$6)</f>
        <v/>
      </c>
      <c r="H39" s="4" t="str">
        <f t="shared" si="0"/>
        <v/>
      </c>
      <c r="I39" s="3" t="s">
        <v>147</v>
      </c>
      <c r="J39" s="3"/>
      <c r="K39" s="3"/>
    </row>
    <row r="40" spans="1:12">
      <c r="A40" s="14"/>
      <c r="B40" s="3"/>
      <c r="C40" s="3" t="s">
        <v>146</v>
      </c>
      <c r="D40" s="5"/>
      <c r="E40" s="13"/>
      <c r="F40" s="4" t="str">
        <f t="shared" si="1"/>
        <v/>
      </c>
      <c r="G40" s="4" t="str">
        <f>IF(D40="","",D40*Parametri!$B$6)</f>
        <v/>
      </c>
      <c r="H40" s="4" t="str">
        <f t="shared" si="0"/>
        <v/>
      </c>
      <c r="I40" s="3" t="s">
        <v>147</v>
      </c>
      <c r="J40" s="3"/>
      <c r="K40" s="3"/>
    </row>
    <row r="41" spans="1:12">
      <c r="A41" s="14"/>
      <c r="B41" s="3"/>
      <c r="C41" s="3" t="s">
        <v>146</v>
      </c>
      <c r="D41" s="5"/>
      <c r="E41" s="13"/>
      <c r="F41" s="4" t="str">
        <f t="shared" si="1"/>
        <v/>
      </c>
      <c r="G41" s="4" t="str">
        <f>IF(D41="","",D41*Parametri!$B$6)</f>
        <v/>
      </c>
      <c r="H41" s="4" t="str">
        <f t="shared" si="0"/>
        <v/>
      </c>
      <c r="I41" s="3" t="s">
        <v>147</v>
      </c>
      <c r="J41" s="3"/>
      <c r="K41" s="3"/>
    </row>
    <row r="42" spans="1:12">
      <c r="A42" s="14"/>
      <c r="B42" s="3"/>
      <c r="C42" s="3" t="s">
        <v>146</v>
      </c>
      <c r="D42" s="5"/>
      <c r="E42" s="13"/>
      <c r="F42" s="4" t="str">
        <f t="shared" si="1"/>
        <v/>
      </c>
      <c r="G42" s="4" t="str">
        <f>IF(D42="","",D42*Parametri!$B$6)</f>
        <v/>
      </c>
      <c r="H42" s="4" t="str">
        <f t="shared" si="0"/>
        <v/>
      </c>
      <c r="I42" s="3" t="s">
        <v>147</v>
      </c>
      <c r="J42" s="3"/>
      <c r="K42" s="3"/>
    </row>
    <row r="43" spans="1:12">
      <c r="A43" s="14"/>
      <c r="B43" s="3"/>
      <c r="C43" s="3" t="s">
        <v>146</v>
      </c>
      <c r="D43" s="5"/>
      <c r="E43" s="13"/>
      <c r="F43" s="4" t="str">
        <f t="shared" si="1"/>
        <v/>
      </c>
      <c r="G43" s="4" t="str">
        <f>IF(D43="","",D43*Parametri!$B$6)</f>
        <v/>
      </c>
      <c r="H43" s="4" t="str">
        <f t="shared" si="0"/>
        <v/>
      </c>
      <c r="I43" s="3" t="s">
        <v>147</v>
      </c>
      <c r="J43" s="3"/>
      <c r="K43" s="3"/>
    </row>
    <row r="44" spans="1:12">
      <c r="A44" s="14"/>
      <c r="B44" s="3"/>
      <c r="C44" s="3" t="s">
        <v>146</v>
      </c>
      <c r="D44" s="5"/>
      <c r="E44" s="13"/>
      <c r="F44" s="4" t="str">
        <f t="shared" si="1"/>
        <v/>
      </c>
      <c r="G44" s="4" t="str">
        <f>IF(D44="","",D44*Parametri!$B$6)</f>
        <v/>
      </c>
      <c r="H44" s="4" t="str">
        <f t="shared" si="0"/>
        <v/>
      </c>
      <c r="I44" s="3" t="s">
        <v>147</v>
      </c>
      <c r="J44" s="3"/>
      <c r="K44" s="3"/>
    </row>
    <row r="45" spans="1:12">
      <c r="A45" s="14"/>
      <c r="B45" s="3"/>
      <c r="C45" s="3" t="s">
        <v>146</v>
      </c>
      <c r="D45" s="5"/>
      <c r="E45" s="13"/>
      <c r="F45" s="4" t="str">
        <f t="shared" si="1"/>
        <v/>
      </c>
      <c r="G45" s="4" t="str">
        <f>IF(D45="","",D45*Parametri!$B$6)</f>
        <v/>
      </c>
      <c r="H45" s="4" t="str">
        <f t="shared" si="0"/>
        <v/>
      </c>
      <c r="I45" s="3" t="s">
        <v>147</v>
      </c>
      <c r="J45" s="3"/>
      <c r="K45" s="3"/>
    </row>
    <row r="46" spans="1:12">
      <c r="A46" s="14"/>
      <c r="B46" s="3"/>
      <c r="C46" s="3" t="s">
        <v>146</v>
      </c>
      <c r="D46" s="5"/>
      <c r="E46" s="13"/>
      <c r="F46" s="4" t="str">
        <f t="shared" si="1"/>
        <v/>
      </c>
      <c r="G46" s="4" t="str">
        <f>IF(D46="","",D46*Parametri!$B$6)</f>
        <v/>
      </c>
      <c r="H46" s="4" t="str">
        <f t="shared" si="0"/>
        <v/>
      </c>
      <c r="I46" s="3" t="s">
        <v>147</v>
      </c>
      <c r="J46" s="3"/>
      <c r="K46" s="3"/>
    </row>
    <row r="47" spans="1:12">
      <c r="A47" s="14"/>
      <c r="B47" s="3"/>
      <c r="C47" s="3" t="s">
        <v>146</v>
      </c>
      <c r="D47" s="5"/>
      <c r="E47" s="13"/>
      <c r="F47" s="4" t="str">
        <f t="shared" si="1"/>
        <v/>
      </c>
      <c r="G47" s="4" t="str">
        <f>IF(D47="","",D47*Parametri!$B$6)</f>
        <v/>
      </c>
      <c r="H47" s="4" t="str">
        <f t="shared" si="0"/>
        <v/>
      </c>
      <c r="I47" s="3" t="s">
        <v>147</v>
      </c>
      <c r="J47" s="3"/>
      <c r="K47" s="3"/>
    </row>
    <row r="48" spans="1:12">
      <c r="A48" s="14"/>
      <c r="B48" s="3"/>
      <c r="C48" s="3" t="s">
        <v>146</v>
      </c>
      <c r="D48" s="5"/>
      <c r="E48" s="13"/>
      <c r="F48" s="4" t="str">
        <f t="shared" si="1"/>
        <v/>
      </c>
      <c r="G48" s="4" t="str">
        <f>IF(D48="","",D48*Parametri!$B$6)</f>
        <v/>
      </c>
      <c r="H48" s="4" t="str">
        <f t="shared" si="0"/>
        <v/>
      </c>
      <c r="I48" s="3" t="s">
        <v>147</v>
      </c>
      <c r="J48" s="3"/>
      <c r="K48" s="3"/>
    </row>
    <row r="49" spans="1:11">
      <c r="A49" s="14"/>
      <c r="B49" s="3"/>
      <c r="C49" s="3" t="s">
        <v>146</v>
      </c>
      <c r="D49" s="5"/>
      <c r="E49" s="13"/>
      <c r="F49" s="4" t="str">
        <f t="shared" si="1"/>
        <v/>
      </c>
      <c r="G49" s="4" t="str">
        <f>IF(D49="","",D49*Parametri!$B$6)</f>
        <v/>
      </c>
      <c r="H49" s="4" t="str">
        <f t="shared" si="0"/>
        <v/>
      </c>
      <c r="I49" s="3" t="s">
        <v>147</v>
      </c>
      <c r="J49" s="3"/>
      <c r="K49" s="3"/>
    </row>
    <row r="50" spans="1:11">
      <c r="A50" s="14"/>
      <c r="B50" s="3"/>
      <c r="C50" s="3" t="s">
        <v>146</v>
      </c>
      <c r="D50" s="5"/>
      <c r="E50" s="13"/>
      <c r="F50" s="4" t="str">
        <f t="shared" si="1"/>
        <v/>
      </c>
      <c r="G50" s="4" t="str">
        <f>IF(D50="","",D50*Parametri!$B$6)</f>
        <v/>
      </c>
      <c r="H50" s="4" t="str">
        <f t="shared" si="0"/>
        <v/>
      </c>
      <c r="I50" s="3" t="s">
        <v>147</v>
      </c>
      <c r="J50" s="3"/>
      <c r="K50" s="3"/>
    </row>
    <row r="51" spans="1:11">
      <c r="A51" s="14"/>
      <c r="B51" s="3"/>
      <c r="C51" s="3" t="s">
        <v>146</v>
      </c>
      <c r="D51" s="5"/>
      <c r="E51" s="13"/>
      <c r="F51" s="4" t="str">
        <f t="shared" si="1"/>
        <v/>
      </c>
      <c r="G51" s="4" t="str">
        <f>IF(D51="","",D51*Parametri!$B$6)</f>
        <v/>
      </c>
      <c r="H51" s="4" t="str">
        <f t="shared" si="0"/>
        <v/>
      </c>
      <c r="I51" s="3" t="s">
        <v>147</v>
      </c>
      <c r="J51" s="3"/>
      <c r="K51" s="3"/>
    </row>
    <row r="52" spans="1:11">
      <c r="A52" s="14"/>
      <c r="B52" s="3"/>
      <c r="C52" s="3" t="s">
        <v>146</v>
      </c>
      <c r="D52" s="5"/>
      <c r="E52" s="13"/>
      <c r="F52" s="4" t="str">
        <f t="shared" si="1"/>
        <v/>
      </c>
      <c r="G52" s="4" t="str">
        <f>IF(D52="","",D52*Parametri!$B$6)</f>
        <v/>
      </c>
      <c r="H52" s="4" t="str">
        <f t="shared" si="0"/>
        <v/>
      </c>
      <c r="I52" s="3" t="s">
        <v>147</v>
      </c>
      <c r="J52" s="3"/>
      <c r="K52" s="3"/>
    </row>
    <row r="53" spans="1:11">
      <c r="A53" s="14"/>
      <c r="B53" s="3"/>
      <c r="C53" s="3" t="s">
        <v>146</v>
      </c>
      <c r="D53" s="5"/>
      <c r="E53" s="13"/>
      <c r="F53" s="4" t="str">
        <f t="shared" si="1"/>
        <v/>
      </c>
      <c r="G53" s="4" t="str">
        <f>IF(D53="","",D53*Parametri!$B$6)</f>
        <v/>
      </c>
      <c r="H53" s="4" t="str">
        <f t="shared" si="0"/>
        <v/>
      </c>
      <c r="I53" s="3" t="s">
        <v>147</v>
      </c>
      <c r="J53" s="3"/>
      <c r="K53" s="3"/>
    </row>
    <row r="54" spans="1:11">
      <c r="A54" s="14"/>
      <c r="B54" s="3"/>
      <c r="C54" s="3" t="s">
        <v>146</v>
      </c>
      <c r="D54" s="5"/>
      <c r="E54" s="13"/>
      <c r="F54" s="4" t="str">
        <f t="shared" si="1"/>
        <v/>
      </c>
      <c r="G54" s="4" t="str">
        <f>IF(D54="","",D54*Parametri!$B$6)</f>
        <v/>
      </c>
      <c r="H54" s="4" t="str">
        <f t="shared" si="0"/>
        <v/>
      </c>
      <c r="I54" s="3" t="s">
        <v>147</v>
      </c>
      <c r="J54" s="3"/>
      <c r="K54" s="3"/>
    </row>
    <row r="55" spans="1:11">
      <c r="A55" s="14"/>
      <c r="B55" s="3"/>
      <c r="C55" s="3" t="s">
        <v>146</v>
      </c>
      <c r="D55" s="5"/>
      <c r="E55" s="13"/>
      <c r="F55" s="4" t="str">
        <f t="shared" si="1"/>
        <v/>
      </c>
      <c r="G55" s="4" t="str">
        <f>IF(D55="","",D55*Parametri!$B$6)</f>
        <v/>
      </c>
      <c r="H55" s="4" t="str">
        <f t="shared" si="0"/>
        <v/>
      </c>
      <c r="I55" s="3" t="s">
        <v>147</v>
      </c>
      <c r="J55" s="3"/>
      <c r="K55" s="3"/>
    </row>
    <row r="56" spans="1:11">
      <c r="A56" s="14"/>
      <c r="B56" s="3"/>
      <c r="C56" s="3" t="s">
        <v>146</v>
      </c>
      <c r="D56" s="5"/>
      <c r="E56" s="13"/>
      <c r="F56" s="4" t="str">
        <f t="shared" si="1"/>
        <v/>
      </c>
      <c r="G56" s="4" t="str">
        <f>IF(D56="","",D56*Parametri!$B$6)</f>
        <v/>
      </c>
      <c r="H56" s="4" t="str">
        <f t="shared" si="0"/>
        <v/>
      </c>
      <c r="I56" s="3" t="s">
        <v>147</v>
      </c>
      <c r="J56" s="3"/>
      <c r="K56" s="3"/>
    </row>
    <row r="57" spans="1:11">
      <c r="A57" s="14"/>
      <c r="B57" s="3"/>
      <c r="C57" s="3" t="s">
        <v>146</v>
      </c>
      <c r="D57" s="5"/>
      <c r="E57" s="13"/>
      <c r="F57" s="4" t="str">
        <f t="shared" si="1"/>
        <v/>
      </c>
      <c r="G57" s="4" t="str">
        <f>IF(D57="","",D57*Parametri!$B$6)</f>
        <v/>
      </c>
      <c r="H57" s="4" t="str">
        <f t="shared" si="0"/>
        <v/>
      </c>
      <c r="I57" s="3" t="s">
        <v>147</v>
      </c>
      <c r="J57" s="3"/>
      <c r="K57" s="3"/>
    </row>
    <row r="58" spans="1:11">
      <c r="A58" s="14"/>
      <c r="B58" s="3"/>
      <c r="C58" s="3" t="s">
        <v>146</v>
      </c>
      <c r="D58" s="5"/>
      <c r="E58" s="13"/>
      <c r="F58" s="4" t="str">
        <f t="shared" si="1"/>
        <v/>
      </c>
      <c r="G58" s="4" t="str">
        <f>IF(D58="","",D58*Parametri!$B$6)</f>
        <v/>
      </c>
      <c r="H58" s="4" t="str">
        <f t="shared" si="0"/>
        <v/>
      </c>
      <c r="I58" s="3" t="s">
        <v>147</v>
      </c>
      <c r="J58" s="3"/>
      <c r="K58" s="3"/>
    </row>
    <row r="59" spans="1:11">
      <c r="A59" s="14"/>
      <c r="B59" s="3"/>
      <c r="C59" s="3" t="s">
        <v>146</v>
      </c>
      <c r="D59" s="5"/>
      <c r="E59" s="13"/>
      <c r="F59" s="4" t="str">
        <f t="shared" si="1"/>
        <v/>
      </c>
      <c r="G59" s="4" t="str">
        <f>IF(D59="","",D59*Parametri!$B$6)</f>
        <v/>
      </c>
      <c r="H59" s="4" t="str">
        <f t="shared" si="0"/>
        <v/>
      </c>
      <c r="I59" s="3" t="s">
        <v>147</v>
      </c>
      <c r="J59" s="3"/>
      <c r="K59" s="3"/>
    </row>
    <row r="60" spans="1:11">
      <c r="A60" s="14"/>
      <c r="B60" s="3"/>
      <c r="C60" s="3" t="s">
        <v>146</v>
      </c>
      <c r="D60" s="5"/>
      <c r="E60" s="13"/>
      <c r="F60" s="4" t="str">
        <f t="shared" si="1"/>
        <v/>
      </c>
      <c r="G60" s="4" t="str">
        <f>IF(D60="","",D60*Parametri!$B$6)</f>
        <v/>
      </c>
      <c r="H60" s="4" t="str">
        <f t="shared" si="0"/>
        <v/>
      </c>
      <c r="I60" s="3" t="s">
        <v>147</v>
      </c>
      <c r="J60" s="3"/>
      <c r="K60" s="3"/>
    </row>
    <row r="61" spans="1:11">
      <c r="A61" s="14"/>
      <c r="B61" s="3"/>
      <c r="C61" s="3" t="s">
        <v>146</v>
      </c>
      <c r="D61" s="5"/>
      <c r="E61" s="13"/>
      <c r="F61" s="4" t="str">
        <f t="shared" si="1"/>
        <v/>
      </c>
      <c r="G61" s="4" t="str">
        <f>IF(D61="","",D61*Parametri!$B$6)</f>
        <v/>
      </c>
      <c r="H61" s="4" t="str">
        <f t="shared" si="0"/>
        <v/>
      </c>
      <c r="I61" s="3" t="s">
        <v>147</v>
      </c>
      <c r="J61" s="3"/>
      <c r="K61" s="3"/>
    </row>
    <row r="62" spans="1:11">
      <c r="A62" s="14"/>
      <c r="B62" s="3"/>
      <c r="C62" s="3" t="s">
        <v>146</v>
      </c>
      <c r="D62" s="5"/>
      <c r="E62" s="13"/>
      <c r="F62" s="4" t="str">
        <f t="shared" si="1"/>
        <v/>
      </c>
      <c r="G62" s="4" t="str">
        <f>IF(D62="","",D62*Parametri!$B$6)</f>
        <v/>
      </c>
      <c r="H62" s="4" t="str">
        <f t="shared" si="0"/>
        <v/>
      </c>
      <c r="I62" s="3" t="s">
        <v>147</v>
      </c>
      <c r="J62" s="3"/>
      <c r="K62" s="3"/>
    </row>
    <row r="63" spans="1:11">
      <c r="A63" s="14"/>
      <c r="B63" s="3"/>
      <c r="C63" s="3" t="s">
        <v>146</v>
      </c>
      <c r="D63" s="5"/>
      <c r="E63" s="13"/>
      <c r="F63" s="4" t="str">
        <f t="shared" si="1"/>
        <v/>
      </c>
      <c r="G63" s="4" t="str">
        <f>IF(D63="","",D63*Parametri!$B$6)</f>
        <v/>
      </c>
      <c r="H63" s="4" t="str">
        <f t="shared" si="0"/>
        <v/>
      </c>
      <c r="I63" s="3" t="s">
        <v>147</v>
      </c>
      <c r="J63" s="3"/>
      <c r="K63" s="3"/>
    </row>
    <row r="64" spans="1:11">
      <c r="A64" s="14"/>
      <c r="B64" s="3"/>
      <c r="C64" s="3" t="s">
        <v>146</v>
      </c>
      <c r="D64" s="5"/>
      <c r="E64" s="13"/>
      <c r="F64" s="4" t="str">
        <f t="shared" si="1"/>
        <v/>
      </c>
      <c r="G64" s="4" t="str">
        <f>IF(D64="","",D64*Parametri!$B$6)</f>
        <v/>
      </c>
      <c r="H64" s="4" t="str">
        <f t="shared" si="0"/>
        <v/>
      </c>
      <c r="I64" s="3" t="s">
        <v>147</v>
      </c>
      <c r="J64" s="3"/>
      <c r="K64" s="3"/>
    </row>
    <row r="65" spans="1:11">
      <c r="A65" s="14"/>
      <c r="B65" s="3"/>
      <c r="C65" s="3" t="s">
        <v>146</v>
      </c>
      <c r="D65" s="5"/>
      <c r="E65" s="13"/>
      <c r="F65" s="4" t="str">
        <f t="shared" si="1"/>
        <v/>
      </c>
      <c r="G65" s="4" t="str">
        <f>IF(D65="","",D65*Parametri!$B$6)</f>
        <v/>
      </c>
      <c r="H65" s="4" t="str">
        <f t="shared" si="0"/>
        <v/>
      </c>
      <c r="I65" s="3" t="s">
        <v>147</v>
      </c>
      <c r="J65" s="3"/>
      <c r="K65" s="3"/>
    </row>
    <row r="66" spans="1:11">
      <c r="A66" s="14"/>
      <c r="B66" s="3"/>
      <c r="C66" s="3" t="s">
        <v>146</v>
      </c>
      <c r="D66" s="5"/>
      <c r="E66" s="13"/>
      <c r="F66" s="4" t="str">
        <f t="shared" si="1"/>
        <v/>
      </c>
      <c r="G66" s="4" t="str">
        <f>IF(D66="","",D66*Parametri!$B$6)</f>
        <v/>
      </c>
      <c r="H66" s="4" t="str">
        <f t="shared" si="0"/>
        <v/>
      </c>
      <c r="I66" s="3" t="s">
        <v>147</v>
      </c>
      <c r="J66" s="3"/>
      <c r="K66" s="3"/>
    </row>
    <row r="67" spans="1:11">
      <c r="A67" s="14"/>
      <c r="B67" s="3"/>
      <c r="C67" s="3" t="s">
        <v>146</v>
      </c>
      <c r="D67" s="5"/>
      <c r="E67" s="13"/>
      <c r="F67" s="4" t="str">
        <f t="shared" si="1"/>
        <v/>
      </c>
      <c r="G67" s="4" t="str">
        <f>IF(D67="","",D67*Parametri!$B$6)</f>
        <v/>
      </c>
      <c r="H67" s="4" t="str">
        <f t="shared" si="0"/>
        <v/>
      </c>
      <c r="I67" s="3" t="s">
        <v>147</v>
      </c>
      <c r="J67" s="3"/>
      <c r="K67" s="3"/>
    </row>
    <row r="68" spans="1:11">
      <c r="A68" s="14"/>
      <c r="B68" s="3"/>
      <c r="C68" s="3" t="s">
        <v>146</v>
      </c>
      <c r="D68" s="5"/>
      <c r="E68" s="13"/>
      <c r="F68" s="4" t="str">
        <f t="shared" si="1"/>
        <v/>
      </c>
      <c r="G68" s="4" t="str">
        <f>IF(D68="","",D68*Parametri!$B$6)</f>
        <v/>
      </c>
      <c r="H68" s="4" t="str">
        <f t="shared" ref="H68:H131" si="2">IF(F68="","",F68-G68)</f>
        <v/>
      </c>
      <c r="I68" s="3" t="s">
        <v>147</v>
      </c>
      <c r="J68" s="3"/>
      <c r="K68" s="3"/>
    </row>
    <row r="69" spans="1:11">
      <c r="A69" s="14"/>
      <c r="B69" s="3"/>
      <c r="C69" s="3" t="s">
        <v>146</v>
      </c>
      <c r="D69" s="5"/>
      <c r="E69" s="13"/>
      <c r="F69" s="4" t="str">
        <f t="shared" si="1"/>
        <v/>
      </c>
      <c r="G69" s="4" t="str">
        <f>IF(D69="","",D69*Parametri!$B$6)</f>
        <v/>
      </c>
      <c r="H69" s="4" t="str">
        <f t="shared" si="2"/>
        <v/>
      </c>
      <c r="I69" s="3" t="s">
        <v>147</v>
      </c>
      <c r="J69" s="3"/>
      <c r="K69" s="3"/>
    </row>
    <row r="70" spans="1:11">
      <c r="A70" s="14"/>
      <c r="B70" s="3"/>
      <c r="C70" s="3" t="s">
        <v>146</v>
      </c>
      <c r="D70" s="5"/>
      <c r="E70" s="13"/>
      <c r="F70" s="4" t="str">
        <f t="shared" si="1"/>
        <v/>
      </c>
      <c r="G70" s="4" t="str">
        <f>IF(D70="","",D70*Parametri!$B$6)</f>
        <v/>
      </c>
      <c r="H70" s="4" t="str">
        <f t="shared" si="2"/>
        <v/>
      </c>
      <c r="I70" s="3" t="s">
        <v>147</v>
      </c>
      <c r="J70" s="3"/>
      <c r="K70" s="3"/>
    </row>
    <row r="71" spans="1:11">
      <c r="A71" s="14"/>
      <c r="B71" s="3"/>
      <c r="C71" s="3" t="s">
        <v>146</v>
      </c>
      <c r="D71" s="5"/>
      <c r="E71" s="13"/>
      <c r="F71" s="4" t="str">
        <f t="shared" si="1"/>
        <v/>
      </c>
      <c r="G71" s="4" t="str">
        <f>IF(D71="","",D71*Parametri!$B$6)</f>
        <v/>
      </c>
      <c r="H71" s="4" t="str">
        <f t="shared" si="2"/>
        <v/>
      </c>
      <c r="I71" s="3" t="s">
        <v>147</v>
      </c>
      <c r="J71" s="3"/>
      <c r="K71" s="3"/>
    </row>
    <row r="72" spans="1:11">
      <c r="A72" s="14"/>
      <c r="B72" s="3"/>
      <c r="C72" s="3" t="s">
        <v>146</v>
      </c>
      <c r="D72" s="5"/>
      <c r="E72" s="13"/>
      <c r="F72" s="4" t="str">
        <f t="shared" si="1"/>
        <v/>
      </c>
      <c r="G72" s="4" t="str">
        <f>IF(D72="","",D72*Parametri!$B$6)</f>
        <v/>
      </c>
      <c r="H72" s="4" t="str">
        <f t="shared" si="2"/>
        <v/>
      </c>
      <c r="I72" s="3" t="s">
        <v>147</v>
      </c>
      <c r="J72" s="3"/>
      <c r="K72" s="3"/>
    </row>
    <row r="73" spans="1:11">
      <c r="A73" s="14"/>
      <c r="B73" s="3"/>
      <c r="C73" s="3" t="s">
        <v>146</v>
      </c>
      <c r="D73" s="5"/>
      <c r="E73" s="13"/>
      <c r="F73" s="4" t="str">
        <f t="shared" si="1"/>
        <v/>
      </c>
      <c r="G73" s="4" t="str">
        <f>IF(D73="","",D73*Parametri!$B$6)</f>
        <v/>
      </c>
      <c r="H73" s="4" t="str">
        <f t="shared" si="2"/>
        <v/>
      </c>
      <c r="I73" s="3" t="s">
        <v>147</v>
      </c>
      <c r="J73" s="3"/>
      <c r="K73" s="3"/>
    </row>
    <row r="74" spans="1:11">
      <c r="A74" s="14"/>
      <c r="B74" s="3"/>
      <c r="C74" s="3" t="s">
        <v>146</v>
      </c>
      <c r="D74" s="5"/>
      <c r="E74" s="13"/>
      <c r="F74" s="4" t="str">
        <f t="shared" si="1"/>
        <v/>
      </c>
      <c r="G74" s="4" t="str">
        <f>IF(D74="","",D74*Parametri!$B$6)</f>
        <v/>
      </c>
      <c r="H74" s="4" t="str">
        <f t="shared" si="2"/>
        <v/>
      </c>
      <c r="I74" s="3" t="s">
        <v>147</v>
      </c>
      <c r="J74" s="3"/>
      <c r="K74" s="3"/>
    </row>
    <row r="75" spans="1:11">
      <c r="A75" s="14"/>
      <c r="B75" s="3"/>
      <c r="C75" s="3" t="s">
        <v>146</v>
      </c>
      <c r="D75" s="5"/>
      <c r="E75" s="13"/>
      <c r="F75" s="4" t="str">
        <f t="shared" ref="F75:F138" si="3">IF(OR(D75="",E75=""),"",D75*E75)</f>
        <v/>
      </c>
      <c r="G75" s="4" t="str">
        <f>IF(D75="","",D75*Parametri!$B$6)</f>
        <v/>
      </c>
      <c r="H75" s="4" t="str">
        <f t="shared" si="2"/>
        <v/>
      </c>
      <c r="I75" s="3" t="s">
        <v>147</v>
      </c>
      <c r="J75" s="3"/>
      <c r="K75" s="3"/>
    </row>
    <row r="76" spans="1:11">
      <c r="A76" s="14"/>
      <c r="B76" s="3"/>
      <c r="C76" s="3" t="s">
        <v>146</v>
      </c>
      <c r="D76" s="5"/>
      <c r="E76" s="13"/>
      <c r="F76" s="4" t="str">
        <f t="shared" si="3"/>
        <v/>
      </c>
      <c r="G76" s="4" t="str">
        <f>IF(D76="","",D76*Parametri!$B$6)</f>
        <v/>
      </c>
      <c r="H76" s="4" t="str">
        <f t="shared" si="2"/>
        <v/>
      </c>
      <c r="I76" s="3" t="s">
        <v>147</v>
      </c>
      <c r="J76" s="3"/>
      <c r="K76" s="3"/>
    </row>
    <row r="77" spans="1:11">
      <c r="A77" s="14"/>
      <c r="B77" s="3"/>
      <c r="C77" s="3" t="s">
        <v>146</v>
      </c>
      <c r="D77" s="5"/>
      <c r="E77" s="13"/>
      <c r="F77" s="4" t="str">
        <f t="shared" si="3"/>
        <v/>
      </c>
      <c r="G77" s="4" t="str">
        <f>IF(D77="","",D77*Parametri!$B$6)</f>
        <v/>
      </c>
      <c r="H77" s="4" t="str">
        <f t="shared" si="2"/>
        <v/>
      </c>
      <c r="I77" s="3" t="s">
        <v>147</v>
      </c>
      <c r="J77" s="3"/>
      <c r="K77" s="3"/>
    </row>
    <row r="78" spans="1:11">
      <c r="A78" s="14"/>
      <c r="B78" s="3"/>
      <c r="C78" s="3" t="s">
        <v>146</v>
      </c>
      <c r="D78" s="5"/>
      <c r="E78" s="13"/>
      <c r="F78" s="4" t="str">
        <f t="shared" si="3"/>
        <v/>
      </c>
      <c r="G78" s="4" t="str">
        <f>IF(D78="","",D78*Parametri!$B$6)</f>
        <v/>
      </c>
      <c r="H78" s="4" t="str">
        <f t="shared" si="2"/>
        <v/>
      </c>
      <c r="I78" s="3" t="s">
        <v>147</v>
      </c>
      <c r="J78" s="3"/>
      <c r="K78" s="3"/>
    </row>
    <row r="79" spans="1:11">
      <c r="A79" s="14"/>
      <c r="B79" s="3"/>
      <c r="C79" s="3" t="s">
        <v>146</v>
      </c>
      <c r="D79" s="5"/>
      <c r="E79" s="13"/>
      <c r="F79" s="4" t="str">
        <f t="shared" si="3"/>
        <v/>
      </c>
      <c r="G79" s="4" t="str">
        <f>IF(D79="","",D79*Parametri!$B$6)</f>
        <v/>
      </c>
      <c r="H79" s="4" t="str">
        <f t="shared" si="2"/>
        <v/>
      </c>
      <c r="I79" s="3" t="s">
        <v>147</v>
      </c>
      <c r="J79" s="3"/>
      <c r="K79" s="3"/>
    </row>
    <row r="80" spans="1:11">
      <c r="A80" s="14"/>
      <c r="B80" s="3"/>
      <c r="C80" s="3" t="s">
        <v>146</v>
      </c>
      <c r="D80" s="5"/>
      <c r="E80" s="13"/>
      <c r="F80" s="4" t="str">
        <f t="shared" si="3"/>
        <v/>
      </c>
      <c r="G80" s="4" t="str">
        <f>IF(D80="","",D80*Parametri!$B$6)</f>
        <v/>
      </c>
      <c r="H80" s="4" t="str">
        <f t="shared" si="2"/>
        <v/>
      </c>
      <c r="I80" s="3" t="s">
        <v>147</v>
      </c>
      <c r="J80" s="3"/>
      <c r="K80" s="3"/>
    </row>
    <row r="81" spans="1:11">
      <c r="A81" s="14"/>
      <c r="B81" s="3"/>
      <c r="C81" s="3" t="s">
        <v>146</v>
      </c>
      <c r="D81" s="5"/>
      <c r="E81" s="13"/>
      <c r="F81" s="4" t="str">
        <f t="shared" si="3"/>
        <v/>
      </c>
      <c r="G81" s="4" t="str">
        <f>IF(D81="","",D81*Parametri!$B$6)</f>
        <v/>
      </c>
      <c r="H81" s="4" t="str">
        <f t="shared" si="2"/>
        <v/>
      </c>
      <c r="I81" s="3" t="s">
        <v>147</v>
      </c>
      <c r="J81" s="3"/>
      <c r="K81" s="3"/>
    </row>
    <row r="82" spans="1:11">
      <c r="A82" s="14"/>
      <c r="B82" s="3"/>
      <c r="C82" s="3" t="s">
        <v>146</v>
      </c>
      <c r="D82" s="5"/>
      <c r="E82" s="13"/>
      <c r="F82" s="4" t="str">
        <f t="shared" si="3"/>
        <v/>
      </c>
      <c r="G82" s="4" t="str">
        <f>IF(D82="","",D82*Parametri!$B$6)</f>
        <v/>
      </c>
      <c r="H82" s="4" t="str">
        <f t="shared" si="2"/>
        <v/>
      </c>
      <c r="I82" s="3" t="s">
        <v>147</v>
      </c>
      <c r="J82" s="3"/>
      <c r="K82" s="3"/>
    </row>
    <row r="83" spans="1:11">
      <c r="A83" s="14"/>
      <c r="B83" s="3"/>
      <c r="C83" s="3" t="s">
        <v>146</v>
      </c>
      <c r="D83" s="5"/>
      <c r="E83" s="13"/>
      <c r="F83" s="4" t="str">
        <f t="shared" si="3"/>
        <v/>
      </c>
      <c r="G83" s="4" t="str">
        <f>IF(D83="","",D83*Parametri!$B$6)</f>
        <v/>
      </c>
      <c r="H83" s="4" t="str">
        <f t="shared" si="2"/>
        <v/>
      </c>
      <c r="I83" s="3" t="s">
        <v>147</v>
      </c>
      <c r="J83" s="3"/>
      <c r="K83" s="3"/>
    </row>
    <row r="84" spans="1:11">
      <c r="A84" s="14"/>
      <c r="B84" s="3"/>
      <c r="C84" s="3" t="s">
        <v>146</v>
      </c>
      <c r="D84" s="5"/>
      <c r="E84" s="13"/>
      <c r="F84" s="4" t="str">
        <f t="shared" si="3"/>
        <v/>
      </c>
      <c r="G84" s="4" t="str">
        <f>IF(D84="","",D84*Parametri!$B$6)</f>
        <v/>
      </c>
      <c r="H84" s="4" t="str">
        <f t="shared" si="2"/>
        <v/>
      </c>
      <c r="I84" s="3" t="s">
        <v>147</v>
      </c>
      <c r="J84" s="3"/>
      <c r="K84" s="3"/>
    </row>
    <row r="85" spans="1:11">
      <c r="A85" s="14"/>
      <c r="B85" s="3"/>
      <c r="C85" s="3" t="s">
        <v>146</v>
      </c>
      <c r="D85" s="5"/>
      <c r="E85" s="13"/>
      <c r="F85" s="4" t="str">
        <f t="shared" si="3"/>
        <v/>
      </c>
      <c r="G85" s="4" t="str">
        <f>IF(D85="","",D85*Parametri!$B$6)</f>
        <v/>
      </c>
      <c r="H85" s="4" t="str">
        <f t="shared" si="2"/>
        <v/>
      </c>
      <c r="I85" s="3" t="s">
        <v>147</v>
      </c>
      <c r="J85" s="3"/>
      <c r="K85" s="3"/>
    </row>
    <row r="86" spans="1:11">
      <c r="A86" s="14"/>
      <c r="B86" s="3"/>
      <c r="C86" s="3" t="s">
        <v>146</v>
      </c>
      <c r="D86" s="5"/>
      <c r="E86" s="13"/>
      <c r="F86" s="4" t="str">
        <f t="shared" si="3"/>
        <v/>
      </c>
      <c r="G86" s="4" t="str">
        <f>IF(D86="","",D86*Parametri!$B$6)</f>
        <v/>
      </c>
      <c r="H86" s="4" t="str">
        <f t="shared" si="2"/>
        <v/>
      </c>
      <c r="I86" s="3" t="s">
        <v>147</v>
      </c>
      <c r="J86" s="3"/>
      <c r="K86" s="3"/>
    </row>
    <row r="87" spans="1:11">
      <c r="A87" s="14"/>
      <c r="B87" s="3"/>
      <c r="C87" s="3" t="s">
        <v>146</v>
      </c>
      <c r="D87" s="5"/>
      <c r="E87" s="13"/>
      <c r="F87" s="4" t="str">
        <f t="shared" si="3"/>
        <v/>
      </c>
      <c r="G87" s="4" t="str">
        <f>IF(D87="","",D87*Parametri!$B$6)</f>
        <v/>
      </c>
      <c r="H87" s="4" t="str">
        <f t="shared" si="2"/>
        <v/>
      </c>
      <c r="I87" s="3" t="s">
        <v>147</v>
      </c>
      <c r="J87" s="3"/>
      <c r="K87" s="3"/>
    </row>
    <row r="88" spans="1:11">
      <c r="A88" s="14"/>
      <c r="B88" s="3"/>
      <c r="C88" s="3" t="s">
        <v>146</v>
      </c>
      <c r="D88" s="5"/>
      <c r="E88" s="13"/>
      <c r="F88" s="4" t="str">
        <f t="shared" si="3"/>
        <v/>
      </c>
      <c r="G88" s="4" t="str">
        <f>IF(D88="","",D88*Parametri!$B$6)</f>
        <v/>
      </c>
      <c r="H88" s="4" t="str">
        <f t="shared" si="2"/>
        <v/>
      </c>
      <c r="I88" s="3" t="s">
        <v>147</v>
      </c>
      <c r="J88" s="3"/>
      <c r="K88" s="3"/>
    </row>
    <row r="89" spans="1:11">
      <c r="A89" s="14"/>
      <c r="B89" s="3"/>
      <c r="C89" s="3" t="s">
        <v>146</v>
      </c>
      <c r="D89" s="5"/>
      <c r="E89" s="13"/>
      <c r="F89" s="4" t="str">
        <f t="shared" si="3"/>
        <v/>
      </c>
      <c r="G89" s="4" t="str">
        <f>IF(D89="","",D89*Parametri!$B$6)</f>
        <v/>
      </c>
      <c r="H89" s="4" t="str">
        <f t="shared" si="2"/>
        <v/>
      </c>
      <c r="I89" s="3" t="s">
        <v>147</v>
      </c>
      <c r="J89" s="3"/>
      <c r="K89" s="3"/>
    </row>
    <row r="90" spans="1:11">
      <c r="A90" s="14"/>
      <c r="B90" s="3"/>
      <c r="C90" s="3" t="s">
        <v>146</v>
      </c>
      <c r="D90" s="5"/>
      <c r="E90" s="13"/>
      <c r="F90" s="4" t="str">
        <f t="shared" si="3"/>
        <v/>
      </c>
      <c r="G90" s="4" t="str">
        <f>IF(D90="","",D90*Parametri!$B$6)</f>
        <v/>
      </c>
      <c r="H90" s="4" t="str">
        <f t="shared" si="2"/>
        <v/>
      </c>
      <c r="I90" s="3" t="s">
        <v>147</v>
      </c>
      <c r="J90" s="3"/>
      <c r="K90" s="3"/>
    </row>
    <row r="91" spans="1:11">
      <c r="A91" s="14"/>
      <c r="B91" s="3"/>
      <c r="C91" s="3" t="s">
        <v>146</v>
      </c>
      <c r="D91" s="5"/>
      <c r="E91" s="13"/>
      <c r="F91" s="4" t="str">
        <f t="shared" si="3"/>
        <v/>
      </c>
      <c r="G91" s="4" t="str">
        <f>IF(D91="","",D91*Parametri!$B$6)</f>
        <v/>
      </c>
      <c r="H91" s="4" t="str">
        <f t="shared" si="2"/>
        <v/>
      </c>
      <c r="I91" s="3" t="s">
        <v>147</v>
      </c>
      <c r="J91" s="3"/>
      <c r="K91" s="3"/>
    </row>
    <row r="92" spans="1:11">
      <c r="A92" s="14"/>
      <c r="B92" s="3"/>
      <c r="C92" s="3" t="s">
        <v>146</v>
      </c>
      <c r="D92" s="5"/>
      <c r="E92" s="13"/>
      <c r="F92" s="4" t="str">
        <f t="shared" si="3"/>
        <v/>
      </c>
      <c r="G92" s="4" t="str">
        <f>IF(D92="","",D92*Parametri!$B$6)</f>
        <v/>
      </c>
      <c r="H92" s="4" t="str">
        <f t="shared" si="2"/>
        <v/>
      </c>
      <c r="I92" s="3" t="s">
        <v>147</v>
      </c>
      <c r="J92" s="3"/>
      <c r="K92" s="3"/>
    </row>
    <row r="93" spans="1:11">
      <c r="A93" s="14"/>
      <c r="B93" s="3"/>
      <c r="C93" s="3" t="s">
        <v>146</v>
      </c>
      <c r="D93" s="5"/>
      <c r="E93" s="13"/>
      <c r="F93" s="4" t="str">
        <f t="shared" si="3"/>
        <v/>
      </c>
      <c r="G93" s="4" t="str">
        <f>IF(D93="","",D93*Parametri!$B$6)</f>
        <v/>
      </c>
      <c r="H93" s="4" t="str">
        <f t="shared" si="2"/>
        <v/>
      </c>
      <c r="I93" s="3" t="s">
        <v>147</v>
      </c>
      <c r="J93" s="3"/>
      <c r="K93" s="3"/>
    </row>
    <row r="94" spans="1:11">
      <c r="A94" s="14"/>
      <c r="B94" s="3"/>
      <c r="C94" s="3" t="s">
        <v>146</v>
      </c>
      <c r="D94" s="5"/>
      <c r="E94" s="13"/>
      <c r="F94" s="4" t="str">
        <f t="shared" si="3"/>
        <v/>
      </c>
      <c r="G94" s="4" t="str">
        <f>IF(D94="","",D94*Parametri!$B$6)</f>
        <v/>
      </c>
      <c r="H94" s="4" t="str">
        <f t="shared" si="2"/>
        <v/>
      </c>
      <c r="I94" s="3" t="s">
        <v>147</v>
      </c>
      <c r="J94" s="3"/>
      <c r="K94" s="3"/>
    </row>
    <row r="95" spans="1:11">
      <c r="A95" s="14"/>
      <c r="B95" s="3"/>
      <c r="C95" s="3" t="s">
        <v>146</v>
      </c>
      <c r="D95" s="5"/>
      <c r="E95" s="13"/>
      <c r="F95" s="4" t="str">
        <f t="shared" si="3"/>
        <v/>
      </c>
      <c r="G95" s="4" t="str">
        <f>IF(D95="","",D95*Parametri!$B$6)</f>
        <v/>
      </c>
      <c r="H95" s="4" t="str">
        <f t="shared" si="2"/>
        <v/>
      </c>
      <c r="I95" s="3" t="s">
        <v>147</v>
      </c>
      <c r="J95" s="3"/>
      <c r="K95" s="3"/>
    </row>
    <row r="96" spans="1:11">
      <c r="A96" s="14"/>
      <c r="B96" s="3"/>
      <c r="C96" s="3" t="s">
        <v>146</v>
      </c>
      <c r="D96" s="5"/>
      <c r="E96" s="13"/>
      <c r="F96" s="4" t="str">
        <f t="shared" si="3"/>
        <v/>
      </c>
      <c r="G96" s="4" t="str">
        <f>IF(D96="","",D96*Parametri!$B$6)</f>
        <v/>
      </c>
      <c r="H96" s="4" t="str">
        <f t="shared" si="2"/>
        <v/>
      </c>
      <c r="I96" s="3" t="s">
        <v>147</v>
      </c>
      <c r="J96" s="3"/>
      <c r="K96" s="3"/>
    </row>
    <row r="97" spans="1:11">
      <c r="A97" s="14"/>
      <c r="B97" s="3"/>
      <c r="C97" s="3" t="s">
        <v>146</v>
      </c>
      <c r="D97" s="5"/>
      <c r="E97" s="13"/>
      <c r="F97" s="4" t="str">
        <f t="shared" si="3"/>
        <v/>
      </c>
      <c r="G97" s="4" t="str">
        <f>IF(D97="","",D97*Parametri!$B$6)</f>
        <v/>
      </c>
      <c r="H97" s="4" t="str">
        <f t="shared" si="2"/>
        <v/>
      </c>
      <c r="I97" s="3" t="s">
        <v>147</v>
      </c>
      <c r="J97" s="3"/>
      <c r="K97" s="3"/>
    </row>
    <row r="98" spans="1:11">
      <c r="A98" s="14"/>
      <c r="B98" s="3"/>
      <c r="C98" s="3" t="s">
        <v>146</v>
      </c>
      <c r="D98" s="5"/>
      <c r="E98" s="13"/>
      <c r="F98" s="4" t="str">
        <f t="shared" si="3"/>
        <v/>
      </c>
      <c r="G98" s="4" t="str">
        <f>IF(D98="","",D98*Parametri!$B$6)</f>
        <v/>
      </c>
      <c r="H98" s="4" t="str">
        <f t="shared" si="2"/>
        <v/>
      </c>
      <c r="I98" s="3" t="s">
        <v>147</v>
      </c>
      <c r="J98" s="3"/>
      <c r="K98" s="3"/>
    </row>
    <row r="99" spans="1:11">
      <c r="A99" s="14"/>
      <c r="B99" s="3"/>
      <c r="C99" s="3" t="s">
        <v>146</v>
      </c>
      <c r="D99" s="5"/>
      <c r="E99" s="13"/>
      <c r="F99" s="4" t="str">
        <f t="shared" si="3"/>
        <v/>
      </c>
      <c r="G99" s="4" t="str">
        <f>IF(D99="","",D99*Parametri!$B$6)</f>
        <v/>
      </c>
      <c r="H99" s="4" t="str">
        <f t="shared" si="2"/>
        <v/>
      </c>
      <c r="I99" s="3" t="s">
        <v>147</v>
      </c>
      <c r="J99" s="3"/>
      <c r="K99" s="3"/>
    </row>
    <row r="100" spans="1:11">
      <c r="A100" s="14"/>
      <c r="B100" s="3"/>
      <c r="C100" s="3" t="s">
        <v>146</v>
      </c>
      <c r="D100" s="5"/>
      <c r="E100" s="13"/>
      <c r="F100" s="4" t="str">
        <f t="shared" si="3"/>
        <v/>
      </c>
      <c r="G100" s="4" t="str">
        <f>IF(D100="","",D100*Parametri!$B$6)</f>
        <v/>
      </c>
      <c r="H100" s="4" t="str">
        <f t="shared" si="2"/>
        <v/>
      </c>
      <c r="I100" s="3" t="s">
        <v>147</v>
      </c>
      <c r="J100" s="3"/>
      <c r="K100" s="3"/>
    </row>
    <row r="101" spans="1:11">
      <c r="A101" s="14"/>
      <c r="B101" s="3"/>
      <c r="C101" s="3" t="s">
        <v>146</v>
      </c>
      <c r="D101" s="5"/>
      <c r="E101" s="13"/>
      <c r="F101" s="4" t="str">
        <f t="shared" si="3"/>
        <v/>
      </c>
      <c r="G101" s="4" t="str">
        <f>IF(D101="","",D101*Parametri!$B$6)</f>
        <v/>
      </c>
      <c r="H101" s="4" t="str">
        <f t="shared" si="2"/>
        <v/>
      </c>
      <c r="I101" s="3" t="s">
        <v>147</v>
      </c>
      <c r="J101" s="3"/>
      <c r="K101" s="3"/>
    </row>
    <row r="102" spans="1:11">
      <c r="A102" s="14"/>
      <c r="B102" s="3"/>
      <c r="C102" s="3" t="s">
        <v>146</v>
      </c>
      <c r="D102" s="5"/>
      <c r="E102" s="13"/>
      <c r="F102" s="4" t="str">
        <f t="shared" si="3"/>
        <v/>
      </c>
      <c r="G102" s="4" t="str">
        <f>IF(D102="","",D102*Parametri!$B$6)</f>
        <v/>
      </c>
      <c r="H102" s="4" t="str">
        <f t="shared" si="2"/>
        <v/>
      </c>
      <c r="I102" s="3" t="s">
        <v>147</v>
      </c>
      <c r="J102" s="3"/>
      <c r="K102" s="3"/>
    </row>
    <row r="103" spans="1:11">
      <c r="A103" s="14"/>
      <c r="B103" s="3"/>
      <c r="C103" s="3" t="s">
        <v>146</v>
      </c>
      <c r="D103" s="5"/>
      <c r="E103" s="13"/>
      <c r="F103" s="4" t="str">
        <f t="shared" si="3"/>
        <v/>
      </c>
      <c r="G103" s="4" t="str">
        <f>IF(D103="","",D103*Parametri!$B$6)</f>
        <v/>
      </c>
      <c r="H103" s="4" t="str">
        <f t="shared" si="2"/>
        <v/>
      </c>
      <c r="I103" s="3" t="s">
        <v>147</v>
      </c>
      <c r="J103" s="3"/>
      <c r="K103" s="3"/>
    </row>
    <row r="104" spans="1:11">
      <c r="A104" s="14"/>
      <c r="B104" s="3"/>
      <c r="C104" s="3" t="s">
        <v>146</v>
      </c>
      <c r="D104" s="5"/>
      <c r="E104" s="13"/>
      <c r="F104" s="4" t="str">
        <f t="shared" si="3"/>
        <v/>
      </c>
      <c r="G104" s="4" t="str">
        <f>IF(D104="","",D104*Parametri!$B$6)</f>
        <v/>
      </c>
      <c r="H104" s="4" t="str">
        <f t="shared" si="2"/>
        <v/>
      </c>
      <c r="I104" s="3" t="s">
        <v>147</v>
      </c>
      <c r="J104" s="3"/>
      <c r="K104" s="3"/>
    </row>
    <row r="105" spans="1:11">
      <c r="A105" s="14"/>
      <c r="B105" s="3"/>
      <c r="C105" s="3" t="s">
        <v>146</v>
      </c>
      <c r="D105" s="5"/>
      <c r="E105" s="13"/>
      <c r="F105" s="4" t="str">
        <f t="shared" si="3"/>
        <v/>
      </c>
      <c r="G105" s="4" t="str">
        <f>IF(D105="","",D105*Parametri!$B$6)</f>
        <v/>
      </c>
      <c r="H105" s="4" t="str">
        <f t="shared" si="2"/>
        <v/>
      </c>
      <c r="I105" s="3" t="s">
        <v>147</v>
      </c>
      <c r="J105" s="3"/>
      <c r="K105" s="3"/>
    </row>
    <row r="106" spans="1:11">
      <c r="A106" s="14"/>
      <c r="B106" s="3"/>
      <c r="C106" s="3" t="s">
        <v>146</v>
      </c>
      <c r="D106" s="5"/>
      <c r="E106" s="13"/>
      <c r="F106" s="4" t="str">
        <f t="shared" si="3"/>
        <v/>
      </c>
      <c r="G106" s="4" t="str">
        <f>IF(D106="","",D106*Parametri!$B$6)</f>
        <v/>
      </c>
      <c r="H106" s="4" t="str">
        <f t="shared" si="2"/>
        <v/>
      </c>
      <c r="I106" s="3" t="s">
        <v>147</v>
      </c>
      <c r="J106" s="3"/>
      <c r="K106" s="3"/>
    </row>
    <row r="107" spans="1:11">
      <c r="A107" s="14"/>
      <c r="B107" s="3"/>
      <c r="C107" s="3" t="s">
        <v>146</v>
      </c>
      <c r="D107" s="5"/>
      <c r="E107" s="13"/>
      <c r="F107" s="4" t="str">
        <f t="shared" si="3"/>
        <v/>
      </c>
      <c r="G107" s="4" t="str">
        <f>IF(D107="","",D107*Parametri!$B$6)</f>
        <v/>
      </c>
      <c r="H107" s="4" t="str">
        <f t="shared" si="2"/>
        <v/>
      </c>
      <c r="I107" s="3" t="s">
        <v>147</v>
      </c>
      <c r="J107" s="3"/>
      <c r="K107" s="3"/>
    </row>
    <row r="108" spans="1:11">
      <c r="A108" s="14"/>
      <c r="B108" s="3"/>
      <c r="C108" s="3" t="s">
        <v>146</v>
      </c>
      <c r="D108" s="5"/>
      <c r="E108" s="13"/>
      <c r="F108" s="4" t="str">
        <f t="shared" si="3"/>
        <v/>
      </c>
      <c r="G108" s="4" t="str">
        <f>IF(D108="","",D108*Parametri!$B$6)</f>
        <v/>
      </c>
      <c r="H108" s="4" t="str">
        <f t="shared" si="2"/>
        <v/>
      </c>
      <c r="I108" s="3" t="s">
        <v>147</v>
      </c>
      <c r="J108" s="3"/>
      <c r="K108" s="3"/>
    </row>
    <row r="109" spans="1:11">
      <c r="A109" s="14"/>
      <c r="B109" s="3"/>
      <c r="C109" s="3" t="s">
        <v>146</v>
      </c>
      <c r="D109" s="5"/>
      <c r="E109" s="13"/>
      <c r="F109" s="4" t="str">
        <f t="shared" si="3"/>
        <v/>
      </c>
      <c r="G109" s="4" t="str">
        <f>IF(D109="","",D109*Parametri!$B$6)</f>
        <v/>
      </c>
      <c r="H109" s="4" t="str">
        <f t="shared" si="2"/>
        <v/>
      </c>
      <c r="I109" s="3" t="s">
        <v>147</v>
      </c>
      <c r="J109" s="3"/>
      <c r="K109" s="3"/>
    </row>
    <row r="110" spans="1:11">
      <c r="A110" s="14"/>
      <c r="B110" s="3"/>
      <c r="C110" s="3" t="s">
        <v>146</v>
      </c>
      <c r="D110" s="5"/>
      <c r="E110" s="13"/>
      <c r="F110" s="4" t="str">
        <f t="shared" si="3"/>
        <v/>
      </c>
      <c r="G110" s="4" t="str">
        <f>IF(D110="","",D110*Parametri!$B$6)</f>
        <v/>
      </c>
      <c r="H110" s="4" t="str">
        <f t="shared" si="2"/>
        <v/>
      </c>
      <c r="I110" s="3" t="s">
        <v>147</v>
      </c>
      <c r="J110" s="3"/>
      <c r="K110" s="3"/>
    </row>
    <row r="111" spans="1:11">
      <c r="A111" s="14"/>
      <c r="B111" s="3"/>
      <c r="C111" s="3" t="s">
        <v>146</v>
      </c>
      <c r="D111" s="5"/>
      <c r="E111" s="13"/>
      <c r="F111" s="4" t="str">
        <f t="shared" si="3"/>
        <v/>
      </c>
      <c r="G111" s="4" t="str">
        <f>IF(D111="","",D111*Parametri!$B$6)</f>
        <v/>
      </c>
      <c r="H111" s="4" t="str">
        <f t="shared" si="2"/>
        <v/>
      </c>
      <c r="I111" s="3" t="s">
        <v>147</v>
      </c>
      <c r="J111" s="3"/>
      <c r="K111" s="3"/>
    </row>
    <row r="112" spans="1:11">
      <c r="A112" s="14"/>
      <c r="B112" s="3"/>
      <c r="C112" s="3" t="s">
        <v>146</v>
      </c>
      <c r="D112" s="5"/>
      <c r="E112" s="13"/>
      <c r="F112" s="4" t="str">
        <f t="shared" si="3"/>
        <v/>
      </c>
      <c r="G112" s="4" t="str">
        <f>IF(D112="","",D112*Parametri!$B$6)</f>
        <v/>
      </c>
      <c r="H112" s="4" t="str">
        <f t="shared" si="2"/>
        <v/>
      </c>
      <c r="I112" s="3" t="s">
        <v>147</v>
      </c>
      <c r="J112" s="3"/>
      <c r="K112" s="3"/>
    </row>
    <row r="113" spans="1:11">
      <c r="A113" s="14"/>
      <c r="B113" s="3"/>
      <c r="C113" s="3" t="s">
        <v>146</v>
      </c>
      <c r="D113" s="5"/>
      <c r="E113" s="13"/>
      <c r="F113" s="4" t="str">
        <f t="shared" si="3"/>
        <v/>
      </c>
      <c r="G113" s="4" t="str">
        <f>IF(D113="","",D113*Parametri!$B$6)</f>
        <v/>
      </c>
      <c r="H113" s="4" t="str">
        <f t="shared" si="2"/>
        <v/>
      </c>
      <c r="I113" s="3" t="s">
        <v>147</v>
      </c>
      <c r="J113" s="3"/>
      <c r="K113" s="3"/>
    </row>
    <row r="114" spans="1:11">
      <c r="A114" s="14"/>
      <c r="B114" s="3"/>
      <c r="C114" s="3" t="s">
        <v>146</v>
      </c>
      <c r="D114" s="5"/>
      <c r="E114" s="13"/>
      <c r="F114" s="4" t="str">
        <f t="shared" si="3"/>
        <v/>
      </c>
      <c r="G114" s="4" t="str">
        <f>IF(D114="","",D114*Parametri!$B$6)</f>
        <v/>
      </c>
      <c r="H114" s="4" t="str">
        <f t="shared" si="2"/>
        <v/>
      </c>
      <c r="I114" s="3" t="s">
        <v>147</v>
      </c>
      <c r="J114" s="3"/>
      <c r="K114" s="3"/>
    </row>
    <row r="115" spans="1:11">
      <c r="A115" s="14"/>
      <c r="B115" s="3"/>
      <c r="C115" s="3" t="s">
        <v>146</v>
      </c>
      <c r="D115" s="5"/>
      <c r="E115" s="13"/>
      <c r="F115" s="4" t="str">
        <f t="shared" si="3"/>
        <v/>
      </c>
      <c r="G115" s="4" t="str">
        <f>IF(D115="","",D115*Parametri!$B$6)</f>
        <v/>
      </c>
      <c r="H115" s="4" t="str">
        <f t="shared" si="2"/>
        <v/>
      </c>
      <c r="I115" s="3" t="s">
        <v>147</v>
      </c>
      <c r="J115" s="3"/>
      <c r="K115" s="3"/>
    </row>
    <row r="116" spans="1:11">
      <c r="A116" s="14"/>
      <c r="B116" s="3"/>
      <c r="C116" s="3" t="s">
        <v>146</v>
      </c>
      <c r="D116" s="5"/>
      <c r="E116" s="13"/>
      <c r="F116" s="4" t="str">
        <f t="shared" si="3"/>
        <v/>
      </c>
      <c r="G116" s="4" t="str">
        <f>IF(D116="","",D116*Parametri!$B$6)</f>
        <v/>
      </c>
      <c r="H116" s="4" t="str">
        <f t="shared" si="2"/>
        <v/>
      </c>
      <c r="I116" s="3" t="s">
        <v>147</v>
      </c>
      <c r="J116" s="3"/>
      <c r="K116" s="3"/>
    </row>
    <row r="117" spans="1:11">
      <c r="A117" s="14"/>
      <c r="B117" s="3"/>
      <c r="C117" s="3" t="s">
        <v>146</v>
      </c>
      <c r="D117" s="5"/>
      <c r="E117" s="13"/>
      <c r="F117" s="4" t="str">
        <f t="shared" si="3"/>
        <v/>
      </c>
      <c r="G117" s="4" t="str">
        <f>IF(D117="","",D117*Parametri!$B$6)</f>
        <v/>
      </c>
      <c r="H117" s="4" t="str">
        <f t="shared" si="2"/>
        <v/>
      </c>
      <c r="I117" s="3" t="s">
        <v>147</v>
      </c>
      <c r="J117" s="3"/>
      <c r="K117" s="3"/>
    </row>
    <row r="118" spans="1:11">
      <c r="A118" s="14"/>
      <c r="B118" s="3"/>
      <c r="C118" s="3" t="s">
        <v>146</v>
      </c>
      <c r="D118" s="5"/>
      <c r="E118" s="13"/>
      <c r="F118" s="4" t="str">
        <f t="shared" si="3"/>
        <v/>
      </c>
      <c r="G118" s="4" t="str">
        <f>IF(D118="","",D118*Parametri!$B$6)</f>
        <v/>
      </c>
      <c r="H118" s="4" t="str">
        <f t="shared" si="2"/>
        <v/>
      </c>
      <c r="I118" s="3" t="s">
        <v>147</v>
      </c>
      <c r="J118" s="3"/>
      <c r="K118" s="3"/>
    </row>
    <row r="119" spans="1:11">
      <c r="A119" s="14"/>
      <c r="B119" s="3"/>
      <c r="C119" s="3" t="s">
        <v>146</v>
      </c>
      <c r="D119" s="5"/>
      <c r="E119" s="13"/>
      <c r="F119" s="4" t="str">
        <f t="shared" si="3"/>
        <v/>
      </c>
      <c r="G119" s="4" t="str">
        <f>IF(D119="","",D119*Parametri!$B$6)</f>
        <v/>
      </c>
      <c r="H119" s="4" t="str">
        <f t="shared" si="2"/>
        <v/>
      </c>
      <c r="I119" s="3" t="s">
        <v>147</v>
      </c>
      <c r="J119" s="3"/>
      <c r="K119" s="3"/>
    </row>
    <row r="120" spans="1:11">
      <c r="A120" s="14"/>
      <c r="B120" s="3"/>
      <c r="C120" s="3" t="s">
        <v>146</v>
      </c>
      <c r="D120" s="5"/>
      <c r="E120" s="13"/>
      <c r="F120" s="4" t="str">
        <f t="shared" si="3"/>
        <v/>
      </c>
      <c r="G120" s="4" t="str">
        <f>IF(D120="","",D120*Parametri!$B$6)</f>
        <v/>
      </c>
      <c r="H120" s="4" t="str">
        <f t="shared" si="2"/>
        <v/>
      </c>
      <c r="I120" s="3" t="s">
        <v>147</v>
      </c>
      <c r="J120" s="3"/>
      <c r="K120" s="3"/>
    </row>
    <row r="121" spans="1:11">
      <c r="A121" s="14"/>
      <c r="B121" s="3"/>
      <c r="C121" s="3" t="s">
        <v>146</v>
      </c>
      <c r="D121" s="5"/>
      <c r="E121" s="13"/>
      <c r="F121" s="4" t="str">
        <f t="shared" si="3"/>
        <v/>
      </c>
      <c r="G121" s="4" t="str">
        <f>IF(D121="","",D121*Parametri!$B$6)</f>
        <v/>
      </c>
      <c r="H121" s="4" t="str">
        <f t="shared" si="2"/>
        <v/>
      </c>
      <c r="I121" s="3" t="s">
        <v>147</v>
      </c>
      <c r="J121" s="3"/>
      <c r="K121" s="3"/>
    </row>
    <row r="122" spans="1:11">
      <c r="A122" s="14"/>
      <c r="B122" s="3"/>
      <c r="C122" s="3" t="s">
        <v>146</v>
      </c>
      <c r="D122" s="5"/>
      <c r="E122" s="13"/>
      <c r="F122" s="4" t="str">
        <f t="shared" si="3"/>
        <v/>
      </c>
      <c r="G122" s="4" t="str">
        <f>IF(D122="","",D122*Parametri!$B$6)</f>
        <v/>
      </c>
      <c r="H122" s="4" t="str">
        <f t="shared" si="2"/>
        <v/>
      </c>
      <c r="I122" s="3" t="s">
        <v>147</v>
      </c>
      <c r="J122" s="3"/>
      <c r="K122" s="3"/>
    </row>
    <row r="123" spans="1:11">
      <c r="A123" s="14"/>
      <c r="B123" s="3"/>
      <c r="C123" s="3" t="s">
        <v>146</v>
      </c>
      <c r="D123" s="5"/>
      <c r="E123" s="13"/>
      <c r="F123" s="4" t="str">
        <f t="shared" si="3"/>
        <v/>
      </c>
      <c r="G123" s="4" t="str">
        <f>IF(D123="","",D123*Parametri!$B$6)</f>
        <v/>
      </c>
      <c r="H123" s="4" t="str">
        <f t="shared" si="2"/>
        <v/>
      </c>
      <c r="I123" s="3" t="s">
        <v>147</v>
      </c>
      <c r="J123" s="3"/>
      <c r="K123" s="3"/>
    </row>
    <row r="124" spans="1:11">
      <c r="A124" s="14"/>
      <c r="B124" s="3"/>
      <c r="C124" s="3" t="s">
        <v>146</v>
      </c>
      <c r="D124" s="5"/>
      <c r="E124" s="13"/>
      <c r="F124" s="4" t="str">
        <f t="shared" si="3"/>
        <v/>
      </c>
      <c r="G124" s="4" t="str">
        <f>IF(D124="","",D124*Parametri!$B$6)</f>
        <v/>
      </c>
      <c r="H124" s="4" t="str">
        <f t="shared" si="2"/>
        <v/>
      </c>
      <c r="I124" s="3" t="s">
        <v>147</v>
      </c>
      <c r="J124" s="3"/>
      <c r="K124" s="3"/>
    </row>
    <row r="125" spans="1:11">
      <c r="A125" s="14"/>
      <c r="B125" s="3"/>
      <c r="C125" s="3" t="s">
        <v>146</v>
      </c>
      <c r="D125" s="5"/>
      <c r="E125" s="13"/>
      <c r="F125" s="4" t="str">
        <f t="shared" si="3"/>
        <v/>
      </c>
      <c r="G125" s="4" t="str">
        <f>IF(D125="","",D125*Parametri!$B$6)</f>
        <v/>
      </c>
      <c r="H125" s="4" t="str">
        <f t="shared" si="2"/>
        <v/>
      </c>
      <c r="I125" s="3" t="s">
        <v>147</v>
      </c>
      <c r="J125" s="3"/>
      <c r="K125" s="3"/>
    </row>
    <row r="126" spans="1:11">
      <c r="A126" s="14"/>
      <c r="B126" s="3"/>
      <c r="C126" s="3" t="s">
        <v>146</v>
      </c>
      <c r="D126" s="5"/>
      <c r="E126" s="13"/>
      <c r="F126" s="4" t="str">
        <f t="shared" si="3"/>
        <v/>
      </c>
      <c r="G126" s="4" t="str">
        <f>IF(D126="","",D126*Parametri!$B$6)</f>
        <v/>
      </c>
      <c r="H126" s="4" t="str">
        <f t="shared" si="2"/>
        <v/>
      </c>
      <c r="I126" s="3" t="s">
        <v>147</v>
      </c>
      <c r="J126" s="3"/>
      <c r="K126" s="3"/>
    </row>
    <row r="127" spans="1:11">
      <c r="A127" s="14"/>
      <c r="B127" s="3"/>
      <c r="C127" s="3" t="s">
        <v>146</v>
      </c>
      <c r="D127" s="5"/>
      <c r="E127" s="13"/>
      <c r="F127" s="4" t="str">
        <f t="shared" si="3"/>
        <v/>
      </c>
      <c r="G127" s="4" t="str">
        <f>IF(D127="","",D127*Parametri!$B$6)</f>
        <v/>
      </c>
      <c r="H127" s="4" t="str">
        <f t="shared" si="2"/>
        <v/>
      </c>
      <c r="I127" s="3" t="s">
        <v>147</v>
      </c>
      <c r="J127" s="3"/>
      <c r="K127" s="3"/>
    </row>
    <row r="128" spans="1:11">
      <c r="A128" s="14"/>
      <c r="B128" s="3"/>
      <c r="C128" s="3" t="s">
        <v>146</v>
      </c>
      <c r="D128" s="5"/>
      <c r="E128" s="13"/>
      <c r="F128" s="4" t="str">
        <f t="shared" si="3"/>
        <v/>
      </c>
      <c r="G128" s="4" t="str">
        <f>IF(D128="","",D128*Parametri!$B$6)</f>
        <v/>
      </c>
      <c r="H128" s="4" t="str">
        <f t="shared" si="2"/>
        <v/>
      </c>
      <c r="I128" s="3" t="s">
        <v>147</v>
      </c>
      <c r="J128" s="3"/>
      <c r="K128" s="3"/>
    </row>
    <row r="129" spans="1:11">
      <c r="A129" s="14"/>
      <c r="B129" s="3"/>
      <c r="C129" s="3" t="s">
        <v>146</v>
      </c>
      <c r="D129" s="5"/>
      <c r="E129" s="13"/>
      <c r="F129" s="4" t="str">
        <f t="shared" si="3"/>
        <v/>
      </c>
      <c r="G129" s="4" t="str">
        <f>IF(D129="","",D129*Parametri!$B$6)</f>
        <v/>
      </c>
      <c r="H129" s="4" t="str">
        <f t="shared" si="2"/>
        <v/>
      </c>
      <c r="I129" s="3" t="s">
        <v>147</v>
      </c>
      <c r="J129" s="3"/>
      <c r="K129" s="3"/>
    </row>
    <row r="130" spans="1:11">
      <c r="A130" s="14"/>
      <c r="B130" s="3"/>
      <c r="C130" s="3" t="s">
        <v>146</v>
      </c>
      <c r="D130" s="5"/>
      <c r="E130" s="13"/>
      <c r="F130" s="4" t="str">
        <f t="shared" si="3"/>
        <v/>
      </c>
      <c r="G130" s="4" t="str">
        <f>IF(D130="","",D130*Parametri!$B$6)</f>
        <v/>
      </c>
      <c r="H130" s="4" t="str">
        <f t="shared" si="2"/>
        <v/>
      </c>
      <c r="I130" s="3" t="s">
        <v>147</v>
      </c>
      <c r="J130" s="3"/>
      <c r="K130" s="3"/>
    </row>
    <row r="131" spans="1:11">
      <c r="A131" s="14"/>
      <c r="B131" s="3"/>
      <c r="C131" s="3" t="s">
        <v>146</v>
      </c>
      <c r="D131" s="5"/>
      <c r="E131" s="13"/>
      <c r="F131" s="4" t="str">
        <f t="shared" si="3"/>
        <v/>
      </c>
      <c r="G131" s="4" t="str">
        <f>IF(D131="","",D131*Parametri!$B$6)</f>
        <v/>
      </c>
      <c r="H131" s="4" t="str">
        <f t="shared" si="2"/>
        <v/>
      </c>
      <c r="I131" s="3" t="s">
        <v>147</v>
      </c>
      <c r="J131" s="3"/>
      <c r="K131" s="3"/>
    </row>
    <row r="132" spans="1:11">
      <c r="A132" s="14"/>
      <c r="B132" s="3"/>
      <c r="C132" s="3" t="s">
        <v>146</v>
      </c>
      <c r="D132" s="5"/>
      <c r="E132" s="13"/>
      <c r="F132" s="4" t="str">
        <f t="shared" si="3"/>
        <v/>
      </c>
      <c r="G132" s="4" t="str">
        <f>IF(D132="","",D132*Parametri!$B$6)</f>
        <v/>
      </c>
      <c r="H132" s="4" t="str">
        <f t="shared" ref="H132:H195" si="4">IF(F132="","",F132-G132)</f>
        <v/>
      </c>
      <c r="I132" s="3" t="s">
        <v>147</v>
      </c>
      <c r="J132" s="3"/>
      <c r="K132" s="3"/>
    </row>
    <row r="133" spans="1:11">
      <c r="A133" s="14"/>
      <c r="B133" s="3"/>
      <c r="C133" s="3" t="s">
        <v>146</v>
      </c>
      <c r="D133" s="5"/>
      <c r="E133" s="13"/>
      <c r="F133" s="4" t="str">
        <f t="shared" si="3"/>
        <v/>
      </c>
      <c r="G133" s="4" t="str">
        <f>IF(D133="","",D133*Parametri!$B$6)</f>
        <v/>
      </c>
      <c r="H133" s="4" t="str">
        <f t="shared" si="4"/>
        <v/>
      </c>
      <c r="I133" s="3" t="s">
        <v>147</v>
      </c>
      <c r="J133" s="3"/>
      <c r="K133" s="3"/>
    </row>
    <row r="134" spans="1:11">
      <c r="A134" s="14"/>
      <c r="B134" s="3"/>
      <c r="C134" s="3" t="s">
        <v>146</v>
      </c>
      <c r="D134" s="5"/>
      <c r="E134" s="13"/>
      <c r="F134" s="4" t="str">
        <f t="shared" si="3"/>
        <v/>
      </c>
      <c r="G134" s="4" t="str">
        <f>IF(D134="","",D134*Parametri!$B$6)</f>
        <v/>
      </c>
      <c r="H134" s="4" t="str">
        <f t="shared" si="4"/>
        <v/>
      </c>
      <c r="I134" s="3" t="s">
        <v>147</v>
      </c>
      <c r="J134" s="3"/>
      <c r="K134" s="3"/>
    </row>
    <row r="135" spans="1:11">
      <c r="A135" s="14"/>
      <c r="B135" s="3"/>
      <c r="C135" s="3" t="s">
        <v>146</v>
      </c>
      <c r="D135" s="5"/>
      <c r="E135" s="13"/>
      <c r="F135" s="4" t="str">
        <f t="shared" si="3"/>
        <v/>
      </c>
      <c r="G135" s="4" t="str">
        <f>IF(D135="","",D135*Parametri!$B$6)</f>
        <v/>
      </c>
      <c r="H135" s="4" t="str">
        <f t="shared" si="4"/>
        <v/>
      </c>
      <c r="I135" s="3" t="s">
        <v>147</v>
      </c>
      <c r="J135" s="3"/>
      <c r="K135" s="3"/>
    </row>
    <row r="136" spans="1:11">
      <c r="A136" s="14"/>
      <c r="B136" s="3"/>
      <c r="C136" s="3" t="s">
        <v>146</v>
      </c>
      <c r="D136" s="5"/>
      <c r="E136" s="13"/>
      <c r="F136" s="4" t="str">
        <f t="shared" si="3"/>
        <v/>
      </c>
      <c r="G136" s="4" t="str">
        <f>IF(D136="","",D136*Parametri!$B$6)</f>
        <v/>
      </c>
      <c r="H136" s="4" t="str">
        <f t="shared" si="4"/>
        <v/>
      </c>
      <c r="I136" s="3" t="s">
        <v>147</v>
      </c>
      <c r="J136" s="3"/>
      <c r="K136" s="3"/>
    </row>
    <row r="137" spans="1:11">
      <c r="A137" s="14"/>
      <c r="B137" s="3"/>
      <c r="C137" s="3" t="s">
        <v>146</v>
      </c>
      <c r="D137" s="5"/>
      <c r="E137" s="13"/>
      <c r="F137" s="4" t="str">
        <f t="shared" si="3"/>
        <v/>
      </c>
      <c r="G137" s="4" t="str">
        <f>IF(D137="","",D137*Parametri!$B$6)</f>
        <v/>
      </c>
      <c r="H137" s="4" t="str">
        <f t="shared" si="4"/>
        <v/>
      </c>
      <c r="I137" s="3" t="s">
        <v>147</v>
      </c>
      <c r="J137" s="3"/>
      <c r="K137" s="3"/>
    </row>
    <row r="138" spans="1:11">
      <c r="A138" s="14"/>
      <c r="B138" s="3"/>
      <c r="C138" s="3" t="s">
        <v>146</v>
      </c>
      <c r="D138" s="5"/>
      <c r="E138" s="13"/>
      <c r="F138" s="4" t="str">
        <f t="shared" si="3"/>
        <v/>
      </c>
      <c r="G138" s="4" t="str">
        <f>IF(D138="","",D138*Parametri!$B$6)</f>
        <v/>
      </c>
      <c r="H138" s="4" t="str">
        <f t="shared" si="4"/>
        <v/>
      </c>
      <c r="I138" s="3" t="s">
        <v>147</v>
      </c>
      <c r="J138" s="3"/>
      <c r="K138" s="3"/>
    </row>
    <row r="139" spans="1:11">
      <c r="A139" s="14"/>
      <c r="B139" s="3"/>
      <c r="C139" s="3" t="s">
        <v>146</v>
      </c>
      <c r="D139" s="5"/>
      <c r="E139" s="13"/>
      <c r="F139" s="4" t="str">
        <f t="shared" ref="F139:F202" si="5">IF(OR(D139="",E139=""),"",D139*E139)</f>
        <v/>
      </c>
      <c r="G139" s="4" t="str">
        <f>IF(D139="","",D139*Parametri!$B$6)</f>
        <v/>
      </c>
      <c r="H139" s="4" t="str">
        <f t="shared" si="4"/>
        <v/>
      </c>
      <c r="I139" s="3" t="s">
        <v>147</v>
      </c>
      <c r="J139" s="3"/>
      <c r="K139" s="3"/>
    </row>
    <row r="140" spans="1:11">
      <c r="A140" s="14"/>
      <c r="B140" s="3"/>
      <c r="C140" s="3" t="s">
        <v>146</v>
      </c>
      <c r="D140" s="5"/>
      <c r="E140" s="13"/>
      <c r="F140" s="4" t="str">
        <f t="shared" si="5"/>
        <v/>
      </c>
      <c r="G140" s="4" t="str">
        <f>IF(D140="","",D140*Parametri!$B$6)</f>
        <v/>
      </c>
      <c r="H140" s="4" t="str">
        <f t="shared" si="4"/>
        <v/>
      </c>
      <c r="I140" s="3" t="s">
        <v>147</v>
      </c>
      <c r="J140" s="3"/>
      <c r="K140" s="3"/>
    </row>
    <row r="141" spans="1:11">
      <c r="A141" s="14"/>
      <c r="B141" s="3"/>
      <c r="C141" s="3" t="s">
        <v>146</v>
      </c>
      <c r="D141" s="5"/>
      <c r="E141" s="13"/>
      <c r="F141" s="4" t="str">
        <f t="shared" si="5"/>
        <v/>
      </c>
      <c r="G141" s="4" t="str">
        <f>IF(D141="","",D141*Parametri!$B$6)</f>
        <v/>
      </c>
      <c r="H141" s="4" t="str">
        <f t="shared" si="4"/>
        <v/>
      </c>
      <c r="I141" s="3" t="s">
        <v>147</v>
      </c>
      <c r="J141" s="3"/>
      <c r="K141" s="3"/>
    </row>
    <row r="142" spans="1:11">
      <c r="A142" s="14"/>
      <c r="B142" s="3"/>
      <c r="C142" s="3" t="s">
        <v>146</v>
      </c>
      <c r="D142" s="5"/>
      <c r="E142" s="13"/>
      <c r="F142" s="4" t="str">
        <f t="shared" si="5"/>
        <v/>
      </c>
      <c r="G142" s="4" t="str">
        <f>IF(D142="","",D142*Parametri!$B$6)</f>
        <v/>
      </c>
      <c r="H142" s="4" t="str">
        <f t="shared" si="4"/>
        <v/>
      </c>
      <c r="I142" s="3" t="s">
        <v>147</v>
      </c>
      <c r="J142" s="3"/>
      <c r="K142" s="3"/>
    </row>
    <row r="143" spans="1:11">
      <c r="A143" s="14"/>
      <c r="B143" s="3"/>
      <c r="C143" s="3" t="s">
        <v>146</v>
      </c>
      <c r="D143" s="5"/>
      <c r="E143" s="13"/>
      <c r="F143" s="4" t="str">
        <f t="shared" si="5"/>
        <v/>
      </c>
      <c r="G143" s="4" t="str">
        <f>IF(D143="","",D143*Parametri!$B$6)</f>
        <v/>
      </c>
      <c r="H143" s="4" t="str">
        <f t="shared" si="4"/>
        <v/>
      </c>
      <c r="I143" s="3" t="s">
        <v>147</v>
      </c>
      <c r="J143" s="3"/>
      <c r="K143" s="3"/>
    </row>
    <row r="144" spans="1:11">
      <c r="A144" s="14"/>
      <c r="B144" s="3"/>
      <c r="C144" s="3" t="s">
        <v>146</v>
      </c>
      <c r="D144" s="5"/>
      <c r="E144" s="13"/>
      <c r="F144" s="4" t="str">
        <f t="shared" si="5"/>
        <v/>
      </c>
      <c r="G144" s="4" t="str">
        <f>IF(D144="","",D144*Parametri!$B$6)</f>
        <v/>
      </c>
      <c r="H144" s="4" t="str">
        <f t="shared" si="4"/>
        <v/>
      </c>
      <c r="I144" s="3" t="s">
        <v>147</v>
      </c>
      <c r="J144" s="3"/>
      <c r="K144" s="3"/>
    </row>
    <row r="145" spans="1:11">
      <c r="A145" s="14"/>
      <c r="B145" s="3"/>
      <c r="C145" s="3" t="s">
        <v>146</v>
      </c>
      <c r="D145" s="5"/>
      <c r="E145" s="13"/>
      <c r="F145" s="4" t="str">
        <f t="shared" si="5"/>
        <v/>
      </c>
      <c r="G145" s="4" t="str">
        <f>IF(D145="","",D145*Parametri!$B$6)</f>
        <v/>
      </c>
      <c r="H145" s="4" t="str">
        <f t="shared" si="4"/>
        <v/>
      </c>
      <c r="I145" s="3" t="s">
        <v>147</v>
      </c>
      <c r="J145" s="3"/>
      <c r="K145" s="3"/>
    </row>
    <row r="146" spans="1:11">
      <c r="A146" s="14"/>
      <c r="B146" s="3"/>
      <c r="C146" s="3" t="s">
        <v>146</v>
      </c>
      <c r="D146" s="5"/>
      <c r="E146" s="13"/>
      <c r="F146" s="4" t="str">
        <f t="shared" si="5"/>
        <v/>
      </c>
      <c r="G146" s="4" t="str">
        <f>IF(D146="","",D146*Parametri!$B$6)</f>
        <v/>
      </c>
      <c r="H146" s="4" t="str">
        <f t="shared" si="4"/>
        <v/>
      </c>
      <c r="I146" s="3" t="s">
        <v>147</v>
      </c>
      <c r="J146" s="3"/>
      <c r="K146" s="3"/>
    </row>
    <row r="147" spans="1:11">
      <c r="A147" s="14"/>
      <c r="B147" s="3"/>
      <c r="C147" s="3" t="s">
        <v>146</v>
      </c>
      <c r="D147" s="5"/>
      <c r="E147" s="13"/>
      <c r="F147" s="4" t="str">
        <f t="shared" si="5"/>
        <v/>
      </c>
      <c r="G147" s="4" t="str">
        <f>IF(D147="","",D147*Parametri!$B$6)</f>
        <v/>
      </c>
      <c r="H147" s="4" t="str">
        <f t="shared" si="4"/>
        <v/>
      </c>
      <c r="I147" s="3" t="s">
        <v>147</v>
      </c>
      <c r="J147" s="3"/>
      <c r="K147" s="3"/>
    </row>
    <row r="148" spans="1:11">
      <c r="A148" s="14"/>
      <c r="B148" s="3"/>
      <c r="C148" s="3" t="s">
        <v>146</v>
      </c>
      <c r="D148" s="5"/>
      <c r="E148" s="13"/>
      <c r="F148" s="4" t="str">
        <f t="shared" si="5"/>
        <v/>
      </c>
      <c r="G148" s="4" t="str">
        <f>IF(D148="","",D148*Parametri!$B$6)</f>
        <v/>
      </c>
      <c r="H148" s="4" t="str">
        <f t="shared" si="4"/>
        <v/>
      </c>
      <c r="I148" s="3" t="s">
        <v>147</v>
      </c>
      <c r="J148" s="3"/>
      <c r="K148" s="3"/>
    </row>
    <row r="149" spans="1:11">
      <c r="A149" s="14"/>
      <c r="B149" s="3"/>
      <c r="C149" s="3" t="s">
        <v>146</v>
      </c>
      <c r="D149" s="5"/>
      <c r="E149" s="13"/>
      <c r="F149" s="4" t="str">
        <f t="shared" si="5"/>
        <v/>
      </c>
      <c r="G149" s="4" t="str">
        <f>IF(D149="","",D149*Parametri!$B$6)</f>
        <v/>
      </c>
      <c r="H149" s="4" t="str">
        <f t="shared" si="4"/>
        <v/>
      </c>
      <c r="I149" s="3" t="s">
        <v>147</v>
      </c>
      <c r="J149" s="3"/>
      <c r="K149" s="3"/>
    </row>
    <row r="150" spans="1:11">
      <c r="A150" s="14"/>
      <c r="B150" s="3"/>
      <c r="C150" s="3" t="s">
        <v>146</v>
      </c>
      <c r="D150" s="5"/>
      <c r="E150" s="13"/>
      <c r="F150" s="4" t="str">
        <f t="shared" si="5"/>
        <v/>
      </c>
      <c r="G150" s="4" t="str">
        <f>IF(D150="","",D150*Parametri!$B$6)</f>
        <v/>
      </c>
      <c r="H150" s="4" t="str">
        <f t="shared" si="4"/>
        <v/>
      </c>
      <c r="I150" s="3" t="s">
        <v>147</v>
      </c>
      <c r="J150" s="3"/>
      <c r="K150" s="3"/>
    </row>
    <row r="151" spans="1:11">
      <c r="A151" s="14"/>
      <c r="B151" s="3"/>
      <c r="C151" s="3" t="s">
        <v>146</v>
      </c>
      <c r="D151" s="5"/>
      <c r="E151" s="13"/>
      <c r="F151" s="4" t="str">
        <f t="shared" si="5"/>
        <v/>
      </c>
      <c r="G151" s="4" t="str">
        <f>IF(D151="","",D151*Parametri!$B$6)</f>
        <v/>
      </c>
      <c r="H151" s="4" t="str">
        <f t="shared" si="4"/>
        <v/>
      </c>
      <c r="I151" s="3" t="s">
        <v>147</v>
      </c>
      <c r="J151" s="3"/>
      <c r="K151" s="3"/>
    </row>
    <row r="152" spans="1:11">
      <c r="A152" s="14"/>
      <c r="B152" s="3"/>
      <c r="C152" s="3" t="s">
        <v>146</v>
      </c>
      <c r="D152" s="5"/>
      <c r="E152" s="13"/>
      <c r="F152" s="4" t="str">
        <f t="shared" si="5"/>
        <v/>
      </c>
      <c r="G152" s="4" t="str">
        <f>IF(D152="","",D152*Parametri!$B$6)</f>
        <v/>
      </c>
      <c r="H152" s="4" t="str">
        <f t="shared" si="4"/>
        <v/>
      </c>
      <c r="I152" s="3" t="s">
        <v>147</v>
      </c>
      <c r="J152" s="3"/>
      <c r="K152" s="3"/>
    </row>
    <row r="153" spans="1:11">
      <c r="A153" s="14"/>
      <c r="B153" s="3"/>
      <c r="C153" s="3" t="s">
        <v>146</v>
      </c>
      <c r="D153" s="5"/>
      <c r="E153" s="13"/>
      <c r="F153" s="4" t="str">
        <f t="shared" si="5"/>
        <v/>
      </c>
      <c r="G153" s="4" t="str">
        <f>IF(D153="","",D153*Parametri!$B$6)</f>
        <v/>
      </c>
      <c r="H153" s="4" t="str">
        <f t="shared" si="4"/>
        <v/>
      </c>
      <c r="I153" s="3" t="s">
        <v>147</v>
      </c>
      <c r="J153" s="3"/>
      <c r="K153" s="3"/>
    </row>
    <row r="154" spans="1:11">
      <c r="A154" s="14"/>
      <c r="B154" s="3"/>
      <c r="C154" s="3" t="s">
        <v>146</v>
      </c>
      <c r="D154" s="5"/>
      <c r="E154" s="13"/>
      <c r="F154" s="4" t="str">
        <f t="shared" si="5"/>
        <v/>
      </c>
      <c r="G154" s="4" t="str">
        <f>IF(D154="","",D154*Parametri!$B$6)</f>
        <v/>
      </c>
      <c r="H154" s="4" t="str">
        <f t="shared" si="4"/>
        <v/>
      </c>
      <c r="I154" s="3" t="s">
        <v>147</v>
      </c>
      <c r="J154" s="3"/>
      <c r="K154" s="3"/>
    </row>
    <row r="155" spans="1:11">
      <c r="A155" s="14"/>
      <c r="B155" s="3"/>
      <c r="C155" s="3" t="s">
        <v>146</v>
      </c>
      <c r="D155" s="5"/>
      <c r="E155" s="13"/>
      <c r="F155" s="4" t="str">
        <f t="shared" si="5"/>
        <v/>
      </c>
      <c r="G155" s="4" t="str">
        <f>IF(D155="","",D155*Parametri!$B$6)</f>
        <v/>
      </c>
      <c r="H155" s="4" t="str">
        <f t="shared" si="4"/>
        <v/>
      </c>
      <c r="I155" s="3" t="s">
        <v>147</v>
      </c>
      <c r="J155" s="3"/>
      <c r="K155" s="3"/>
    </row>
    <row r="156" spans="1:11">
      <c r="A156" s="14"/>
      <c r="B156" s="3"/>
      <c r="C156" s="3" t="s">
        <v>146</v>
      </c>
      <c r="D156" s="5"/>
      <c r="E156" s="13"/>
      <c r="F156" s="4" t="str">
        <f t="shared" si="5"/>
        <v/>
      </c>
      <c r="G156" s="4" t="str">
        <f>IF(D156="","",D156*Parametri!$B$6)</f>
        <v/>
      </c>
      <c r="H156" s="4" t="str">
        <f t="shared" si="4"/>
        <v/>
      </c>
      <c r="I156" s="3" t="s">
        <v>147</v>
      </c>
      <c r="J156" s="3"/>
      <c r="K156" s="3"/>
    </row>
    <row r="157" spans="1:11">
      <c r="A157" s="14"/>
      <c r="B157" s="3"/>
      <c r="C157" s="3" t="s">
        <v>146</v>
      </c>
      <c r="D157" s="5"/>
      <c r="E157" s="13"/>
      <c r="F157" s="4" t="str">
        <f t="shared" si="5"/>
        <v/>
      </c>
      <c r="G157" s="4" t="str">
        <f>IF(D157="","",D157*Parametri!$B$6)</f>
        <v/>
      </c>
      <c r="H157" s="4" t="str">
        <f t="shared" si="4"/>
        <v/>
      </c>
      <c r="I157" s="3" t="s">
        <v>147</v>
      </c>
      <c r="J157" s="3"/>
      <c r="K157" s="3"/>
    </row>
    <row r="158" spans="1:11">
      <c r="A158" s="14"/>
      <c r="B158" s="3"/>
      <c r="C158" s="3" t="s">
        <v>146</v>
      </c>
      <c r="D158" s="5"/>
      <c r="E158" s="13"/>
      <c r="F158" s="4" t="str">
        <f t="shared" si="5"/>
        <v/>
      </c>
      <c r="G158" s="4" t="str">
        <f>IF(D158="","",D158*Parametri!$B$6)</f>
        <v/>
      </c>
      <c r="H158" s="4" t="str">
        <f t="shared" si="4"/>
        <v/>
      </c>
      <c r="I158" s="3" t="s">
        <v>147</v>
      </c>
      <c r="J158" s="3"/>
      <c r="K158" s="3"/>
    </row>
    <row r="159" spans="1:11">
      <c r="A159" s="14"/>
      <c r="B159" s="3"/>
      <c r="C159" s="3" t="s">
        <v>146</v>
      </c>
      <c r="D159" s="5"/>
      <c r="E159" s="13"/>
      <c r="F159" s="4" t="str">
        <f t="shared" si="5"/>
        <v/>
      </c>
      <c r="G159" s="4" t="str">
        <f>IF(D159="","",D159*Parametri!$B$6)</f>
        <v/>
      </c>
      <c r="H159" s="4" t="str">
        <f t="shared" si="4"/>
        <v/>
      </c>
      <c r="I159" s="3" t="s">
        <v>147</v>
      </c>
      <c r="J159" s="3"/>
      <c r="K159" s="3"/>
    </row>
    <row r="160" spans="1:11">
      <c r="A160" s="14"/>
      <c r="B160" s="3"/>
      <c r="C160" s="3" t="s">
        <v>146</v>
      </c>
      <c r="D160" s="5"/>
      <c r="E160" s="13"/>
      <c r="F160" s="4" t="str">
        <f t="shared" si="5"/>
        <v/>
      </c>
      <c r="G160" s="4" t="str">
        <f>IF(D160="","",D160*Parametri!$B$6)</f>
        <v/>
      </c>
      <c r="H160" s="4" t="str">
        <f t="shared" si="4"/>
        <v/>
      </c>
      <c r="I160" s="3" t="s">
        <v>147</v>
      </c>
      <c r="J160" s="3"/>
      <c r="K160" s="3"/>
    </row>
    <row r="161" spans="1:11">
      <c r="A161" s="14"/>
      <c r="B161" s="3"/>
      <c r="C161" s="3" t="s">
        <v>146</v>
      </c>
      <c r="D161" s="5"/>
      <c r="E161" s="13"/>
      <c r="F161" s="4" t="str">
        <f t="shared" si="5"/>
        <v/>
      </c>
      <c r="G161" s="4" t="str">
        <f>IF(D161="","",D161*Parametri!$B$6)</f>
        <v/>
      </c>
      <c r="H161" s="4" t="str">
        <f t="shared" si="4"/>
        <v/>
      </c>
      <c r="I161" s="3" t="s">
        <v>147</v>
      </c>
      <c r="J161" s="3"/>
      <c r="K161" s="3"/>
    </row>
    <row r="162" spans="1:11">
      <c r="A162" s="14"/>
      <c r="B162" s="3"/>
      <c r="C162" s="3" t="s">
        <v>146</v>
      </c>
      <c r="D162" s="5"/>
      <c r="E162" s="13"/>
      <c r="F162" s="4" t="str">
        <f t="shared" si="5"/>
        <v/>
      </c>
      <c r="G162" s="4" t="str">
        <f>IF(D162="","",D162*Parametri!$B$6)</f>
        <v/>
      </c>
      <c r="H162" s="4" t="str">
        <f t="shared" si="4"/>
        <v/>
      </c>
      <c r="I162" s="3" t="s">
        <v>147</v>
      </c>
      <c r="J162" s="3"/>
      <c r="K162" s="3"/>
    </row>
    <row r="163" spans="1:11">
      <c r="A163" s="14"/>
      <c r="B163" s="3"/>
      <c r="C163" s="3" t="s">
        <v>146</v>
      </c>
      <c r="D163" s="5"/>
      <c r="E163" s="13"/>
      <c r="F163" s="4" t="str">
        <f t="shared" si="5"/>
        <v/>
      </c>
      <c r="G163" s="4" t="str">
        <f>IF(D163="","",D163*Parametri!$B$6)</f>
        <v/>
      </c>
      <c r="H163" s="4" t="str">
        <f t="shared" si="4"/>
        <v/>
      </c>
      <c r="I163" s="3" t="s">
        <v>147</v>
      </c>
      <c r="J163" s="3"/>
      <c r="K163" s="3"/>
    </row>
    <row r="164" spans="1:11">
      <c r="A164" s="14"/>
      <c r="B164" s="3"/>
      <c r="C164" s="3" t="s">
        <v>146</v>
      </c>
      <c r="D164" s="5"/>
      <c r="E164" s="13"/>
      <c r="F164" s="4" t="str">
        <f t="shared" si="5"/>
        <v/>
      </c>
      <c r="G164" s="4" t="str">
        <f>IF(D164="","",D164*Parametri!$B$6)</f>
        <v/>
      </c>
      <c r="H164" s="4" t="str">
        <f t="shared" si="4"/>
        <v/>
      </c>
      <c r="I164" s="3" t="s">
        <v>147</v>
      </c>
      <c r="J164" s="3"/>
      <c r="K164" s="3"/>
    </row>
    <row r="165" spans="1:11">
      <c r="A165" s="14"/>
      <c r="B165" s="3"/>
      <c r="C165" s="3" t="s">
        <v>146</v>
      </c>
      <c r="D165" s="5"/>
      <c r="E165" s="13"/>
      <c r="F165" s="4" t="str">
        <f t="shared" si="5"/>
        <v/>
      </c>
      <c r="G165" s="4" t="str">
        <f>IF(D165="","",D165*Parametri!$B$6)</f>
        <v/>
      </c>
      <c r="H165" s="4" t="str">
        <f t="shared" si="4"/>
        <v/>
      </c>
      <c r="I165" s="3" t="s">
        <v>147</v>
      </c>
      <c r="J165" s="3"/>
      <c r="K165" s="3"/>
    </row>
    <row r="166" spans="1:11">
      <c r="A166" s="14"/>
      <c r="B166" s="3"/>
      <c r="C166" s="3" t="s">
        <v>146</v>
      </c>
      <c r="D166" s="5"/>
      <c r="E166" s="13"/>
      <c r="F166" s="4" t="str">
        <f t="shared" si="5"/>
        <v/>
      </c>
      <c r="G166" s="4" t="str">
        <f>IF(D166="","",D166*Parametri!$B$6)</f>
        <v/>
      </c>
      <c r="H166" s="4" t="str">
        <f t="shared" si="4"/>
        <v/>
      </c>
      <c r="I166" s="3" t="s">
        <v>147</v>
      </c>
      <c r="J166" s="3"/>
      <c r="K166" s="3"/>
    </row>
    <row r="167" spans="1:11">
      <c r="A167" s="14"/>
      <c r="B167" s="3"/>
      <c r="C167" s="3" t="s">
        <v>146</v>
      </c>
      <c r="D167" s="5"/>
      <c r="E167" s="13"/>
      <c r="F167" s="4" t="str">
        <f t="shared" si="5"/>
        <v/>
      </c>
      <c r="G167" s="4" t="str">
        <f>IF(D167="","",D167*Parametri!$B$6)</f>
        <v/>
      </c>
      <c r="H167" s="4" t="str">
        <f t="shared" si="4"/>
        <v/>
      </c>
      <c r="I167" s="3" t="s">
        <v>147</v>
      </c>
      <c r="J167" s="3"/>
      <c r="K167" s="3"/>
    </row>
    <row r="168" spans="1:11">
      <c r="A168" s="14"/>
      <c r="B168" s="3"/>
      <c r="C168" s="3" t="s">
        <v>146</v>
      </c>
      <c r="D168" s="5"/>
      <c r="E168" s="13"/>
      <c r="F168" s="4" t="str">
        <f t="shared" si="5"/>
        <v/>
      </c>
      <c r="G168" s="4" t="str">
        <f>IF(D168="","",D168*Parametri!$B$6)</f>
        <v/>
      </c>
      <c r="H168" s="4" t="str">
        <f t="shared" si="4"/>
        <v/>
      </c>
      <c r="I168" s="3" t="s">
        <v>147</v>
      </c>
      <c r="J168" s="3"/>
      <c r="K168" s="3"/>
    </row>
    <row r="169" spans="1:11">
      <c r="A169" s="14"/>
      <c r="B169" s="3"/>
      <c r="C169" s="3" t="s">
        <v>146</v>
      </c>
      <c r="D169" s="5"/>
      <c r="E169" s="13"/>
      <c r="F169" s="4" t="str">
        <f t="shared" si="5"/>
        <v/>
      </c>
      <c r="G169" s="4" t="str">
        <f>IF(D169="","",D169*Parametri!$B$6)</f>
        <v/>
      </c>
      <c r="H169" s="4" t="str">
        <f t="shared" si="4"/>
        <v/>
      </c>
      <c r="I169" s="3" t="s">
        <v>147</v>
      </c>
      <c r="J169" s="3"/>
      <c r="K169" s="3"/>
    </row>
    <row r="170" spans="1:11">
      <c r="A170" s="14"/>
      <c r="B170" s="3"/>
      <c r="C170" s="3" t="s">
        <v>146</v>
      </c>
      <c r="D170" s="5"/>
      <c r="E170" s="13"/>
      <c r="F170" s="4" t="str">
        <f t="shared" si="5"/>
        <v/>
      </c>
      <c r="G170" s="4" t="str">
        <f>IF(D170="","",D170*Parametri!$B$6)</f>
        <v/>
      </c>
      <c r="H170" s="4" t="str">
        <f t="shared" si="4"/>
        <v/>
      </c>
      <c r="I170" s="3" t="s">
        <v>147</v>
      </c>
      <c r="J170" s="3"/>
      <c r="K170" s="3"/>
    </row>
    <row r="171" spans="1:11">
      <c r="A171" s="14"/>
      <c r="B171" s="3"/>
      <c r="C171" s="3" t="s">
        <v>146</v>
      </c>
      <c r="D171" s="5"/>
      <c r="E171" s="13"/>
      <c r="F171" s="4" t="str">
        <f t="shared" si="5"/>
        <v/>
      </c>
      <c r="G171" s="4" t="str">
        <f>IF(D171="","",D171*Parametri!$B$6)</f>
        <v/>
      </c>
      <c r="H171" s="4" t="str">
        <f t="shared" si="4"/>
        <v/>
      </c>
      <c r="I171" s="3" t="s">
        <v>147</v>
      </c>
      <c r="J171" s="3"/>
      <c r="K171" s="3"/>
    </row>
    <row r="172" spans="1:11">
      <c r="A172" s="14"/>
      <c r="B172" s="3"/>
      <c r="C172" s="3" t="s">
        <v>146</v>
      </c>
      <c r="D172" s="5"/>
      <c r="E172" s="13"/>
      <c r="F172" s="4" t="str">
        <f t="shared" si="5"/>
        <v/>
      </c>
      <c r="G172" s="4" t="str">
        <f>IF(D172="","",D172*Parametri!$B$6)</f>
        <v/>
      </c>
      <c r="H172" s="4" t="str">
        <f t="shared" si="4"/>
        <v/>
      </c>
      <c r="I172" s="3" t="s">
        <v>147</v>
      </c>
      <c r="J172" s="3"/>
      <c r="K172" s="3"/>
    </row>
    <row r="173" spans="1:11">
      <c r="A173" s="14"/>
      <c r="B173" s="3"/>
      <c r="C173" s="3" t="s">
        <v>146</v>
      </c>
      <c r="D173" s="5"/>
      <c r="E173" s="13"/>
      <c r="F173" s="4" t="str">
        <f t="shared" si="5"/>
        <v/>
      </c>
      <c r="G173" s="4" t="str">
        <f>IF(D173="","",D173*Parametri!$B$6)</f>
        <v/>
      </c>
      <c r="H173" s="4" t="str">
        <f t="shared" si="4"/>
        <v/>
      </c>
      <c r="I173" s="3" t="s">
        <v>147</v>
      </c>
      <c r="J173" s="3"/>
      <c r="K173" s="3"/>
    </row>
    <row r="174" spans="1:11">
      <c r="A174" s="14"/>
      <c r="B174" s="3"/>
      <c r="C174" s="3" t="s">
        <v>146</v>
      </c>
      <c r="D174" s="5"/>
      <c r="E174" s="13"/>
      <c r="F174" s="4" t="str">
        <f t="shared" si="5"/>
        <v/>
      </c>
      <c r="G174" s="4" t="str">
        <f>IF(D174="","",D174*Parametri!$B$6)</f>
        <v/>
      </c>
      <c r="H174" s="4" t="str">
        <f t="shared" si="4"/>
        <v/>
      </c>
      <c r="I174" s="3" t="s">
        <v>147</v>
      </c>
      <c r="J174" s="3"/>
      <c r="K174" s="3"/>
    </row>
    <row r="175" spans="1:11">
      <c r="A175" s="14"/>
      <c r="B175" s="3"/>
      <c r="C175" s="3" t="s">
        <v>146</v>
      </c>
      <c r="D175" s="5"/>
      <c r="E175" s="13"/>
      <c r="F175" s="4" t="str">
        <f t="shared" si="5"/>
        <v/>
      </c>
      <c r="G175" s="4" t="str">
        <f>IF(D175="","",D175*Parametri!$B$6)</f>
        <v/>
      </c>
      <c r="H175" s="4" t="str">
        <f t="shared" si="4"/>
        <v/>
      </c>
      <c r="I175" s="3" t="s">
        <v>147</v>
      </c>
      <c r="J175" s="3"/>
      <c r="K175" s="3"/>
    </row>
    <row r="176" spans="1:11">
      <c r="A176" s="14"/>
      <c r="B176" s="3"/>
      <c r="C176" s="3" t="s">
        <v>146</v>
      </c>
      <c r="D176" s="5"/>
      <c r="E176" s="13"/>
      <c r="F176" s="4" t="str">
        <f t="shared" si="5"/>
        <v/>
      </c>
      <c r="G176" s="4" t="str">
        <f>IF(D176="","",D176*Parametri!$B$6)</f>
        <v/>
      </c>
      <c r="H176" s="4" t="str">
        <f t="shared" si="4"/>
        <v/>
      </c>
      <c r="I176" s="3" t="s">
        <v>147</v>
      </c>
      <c r="J176" s="3"/>
      <c r="K176" s="3"/>
    </row>
    <row r="177" spans="1:11">
      <c r="A177" s="14"/>
      <c r="B177" s="3"/>
      <c r="C177" s="3" t="s">
        <v>146</v>
      </c>
      <c r="D177" s="5"/>
      <c r="E177" s="13"/>
      <c r="F177" s="4" t="str">
        <f t="shared" si="5"/>
        <v/>
      </c>
      <c r="G177" s="4" t="str">
        <f>IF(D177="","",D177*Parametri!$B$6)</f>
        <v/>
      </c>
      <c r="H177" s="4" t="str">
        <f t="shared" si="4"/>
        <v/>
      </c>
      <c r="I177" s="3" t="s">
        <v>147</v>
      </c>
      <c r="J177" s="3"/>
      <c r="K177" s="3"/>
    </row>
    <row r="178" spans="1:11">
      <c r="A178" s="14"/>
      <c r="B178" s="3"/>
      <c r="C178" s="3" t="s">
        <v>146</v>
      </c>
      <c r="D178" s="5"/>
      <c r="E178" s="13"/>
      <c r="F178" s="4" t="str">
        <f t="shared" si="5"/>
        <v/>
      </c>
      <c r="G178" s="4" t="str">
        <f>IF(D178="","",D178*Parametri!$B$6)</f>
        <v/>
      </c>
      <c r="H178" s="4" t="str">
        <f t="shared" si="4"/>
        <v/>
      </c>
      <c r="I178" s="3" t="s">
        <v>147</v>
      </c>
      <c r="J178" s="3"/>
      <c r="K178" s="3"/>
    </row>
    <row r="179" spans="1:11">
      <c r="A179" s="14"/>
      <c r="B179" s="3"/>
      <c r="C179" s="3" t="s">
        <v>146</v>
      </c>
      <c r="D179" s="5"/>
      <c r="E179" s="13"/>
      <c r="F179" s="4" t="str">
        <f t="shared" si="5"/>
        <v/>
      </c>
      <c r="G179" s="4" t="str">
        <f>IF(D179="","",D179*Parametri!$B$6)</f>
        <v/>
      </c>
      <c r="H179" s="4" t="str">
        <f t="shared" si="4"/>
        <v/>
      </c>
      <c r="I179" s="3" t="s">
        <v>147</v>
      </c>
      <c r="J179" s="3"/>
      <c r="K179" s="3"/>
    </row>
    <row r="180" spans="1:11">
      <c r="A180" s="14"/>
      <c r="B180" s="3"/>
      <c r="C180" s="3" t="s">
        <v>146</v>
      </c>
      <c r="D180" s="5"/>
      <c r="E180" s="13"/>
      <c r="F180" s="4" t="str">
        <f t="shared" si="5"/>
        <v/>
      </c>
      <c r="G180" s="4" t="str">
        <f>IF(D180="","",D180*Parametri!$B$6)</f>
        <v/>
      </c>
      <c r="H180" s="4" t="str">
        <f t="shared" si="4"/>
        <v/>
      </c>
      <c r="I180" s="3" t="s">
        <v>147</v>
      </c>
      <c r="J180" s="3"/>
      <c r="K180" s="3"/>
    </row>
    <row r="181" spans="1:11">
      <c r="A181" s="14"/>
      <c r="B181" s="3"/>
      <c r="C181" s="3" t="s">
        <v>146</v>
      </c>
      <c r="D181" s="5"/>
      <c r="E181" s="13"/>
      <c r="F181" s="4" t="str">
        <f t="shared" si="5"/>
        <v/>
      </c>
      <c r="G181" s="4" t="str">
        <f>IF(D181="","",D181*Parametri!$B$6)</f>
        <v/>
      </c>
      <c r="H181" s="4" t="str">
        <f t="shared" si="4"/>
        <v/>
      </c>
      <c r="I181" s="3" t="s">
        <v>147</v>
      </c>
      <c r="J181" s="3"/>
      <c r="K181" s="3"/>
    </row>
    <row r="182" spans="1:11">
      <c r="A182" s="14"/>
      <c r="B182" s="3"/>
      <c r="C182" s="3" t="s">
        <v>146</v>
      </c>
      <c r="D182" s="5"/>
      <c r="E182" s="13"/>
      <c r="F182" s="4" t="str">
        <f t="shared" si="5"/>
        <v/>
      </c>
      <c r="G182" s="4" t="str">
        <f>IF(D182="","",D182*Parametri!$B$6)</f>
        <v/>
      </c>
      <c r="H182" s="4" t="str">
        <f t="shared" si="4"/>
        <v/>
      </c>
      <c r="I182" s="3" t="s">
        <v>147</v>
      </c>
      <c r="J182" s="3"/>
      <c r="K182" s="3"/>
    </row>
    <row r="183" spans="1:11">
      <c r="A183" s="14"/>
      <c r="B183" s="3"/>
      <c r="C183" s="3" t="s">
        <v>146</v>
      </c>
      <c r="D183" s="5"/>
      <c r="E183" s="13"/>
      <c r="F183" s="4" t="str">
        <f t="shared" si="5"/>
        <v/>
      </c>
      <c r="G183" s="4" t="str">
        <f>IF(D183="","",D183*Parametri!$B$6)</f>
        <v/>
      </c>
      <c r="H183" s="4" t="str">
        <f t="shared" si="4"/>
        <v/>
      </c>
      <c r="I183" s="3" t="s">
        <v>147</v>
      </c>
      <c r="J183" s="3"/>
      <c r="K183" s="3"/>
    </row>
    <row r="184" spans="1:11">
      <c r="A184" s="14"/>
      <c r="B184" s="3"/>
      <c r="C184" s="3" t="s">
        <v>146</v>
      </c>
      <c r="D184" s="5"/>
      <c r="E184" s="13"/>
      <c r="F184" s="4" t="str">
        <f t="shared" si="5"/>
        <v/>
      </c>
      <c r="G184" s="4" t="str">
        <f>IF(D184="","",D184*Parametri!$B$6)</f>
        <v/>
      </c>
      <c r="H184" s="4" t="str">
        <f t="shared" si="4"/>
        <v/>
      </c>
      <c r="I184" s="3" t="s">
        <v>147</v>
      </c>
      <c r="J184" s="3"/>
      <c r="K184" s="3"/>
    </row>
    <row r="185" spans="1:11">
      <c r="A185" s="14"/>
      <c r="B185" s="3"/>
      <c r="C185" s="3" t="s">
        <v>146</v>
      </c>
      <c r="D185" s="5"/>
      <c r="E185" s="13"/>
      <c r="F185" s="4" t="str">
        <f t="shared" si="5"/>
        <v/>
      </c>
      <c r="G185" s="4" t="str">
        <f>IF(D185="","",D185*Parametri!$B$6)</f>
        <v/>
      </c>
      <c r="H185" s="4" t="str">
        <f t="shared" si="4"/>
        <v/>
      </c>
      <c r="I185" s="3" t="s">
        <v>147</v>
      </c>
      <c r="J185" s="3"/>
      <c r="K185" s="3"/>
    </row>
    <row r="186" spans="1:11">
      <c r="A186" s="14"/>
      <c r="B186" s="3"/>
      <c r="C186" s="3" t="s">
        <v>146</v>
      </c>
      <c r="D186" s="5"/>
      <c r="E186" s="13"/>
      <c r="F186" s="4" t="str">
        <f t="shared" si="5"/>
        <v/>
      </c>
      <c r="G186" s="4" t="str">
        <f>IF(D186="","",D186*Parametri!$B$6)</f>
        <v/>
      </c>
      <c r="H186" s="4" t="str">
        <f t="shared" si="4"/>
        <v/>
      </c>
      <c r="I186" s="3" t="s">
        <v>147</v>
      </c>
      <c r="J186" s="3"/>
      <c r="K186" s="3"/>
    </row>
    <row r="187" spans="1:11">
      <c r="A187" s="14"/>
      <c r="B187" s="3"/>
      <c r="C187" s="3" t="s">
        <v>146</v>
      </c>
      <c r="D187" s="5"/>
      <c r="E187" s="13"/>
      <c r="F187" s="4" t="str">
        <f t="shared" si="5"/>
        <v/>
      </c>
      <c r="G187" s="4" t="str">
        <f>IF(D187="","",D187*Parametri!$B$6)</f>
        <v/>
      </c>
      <c r="H187" s="4" t="str">
        <f t="shared" si="4"/>
        <v/>
      </c>
      <c r="I187" s="3" t="s">
        <v>147</v>
      </c>
      <c r="J187" s="3"/>
      <c r="K187" s="3"/>
    </row>
    <row r="188" spans="1:11">
      <c r="A188" s="14"/>
      <c r="B188" s="3"/>
      <c r="C188" s="3" t="s">
        <v>146</v>
      </c>
      <c r="D188" s="5"/>
      <c r="E188" s="13"/>
      <c r="F188" s="4" t="str">
        <f t="shared" si="5"/>
        <v/>
      </c>
      <c r="G188" s="4" t="str">
        <f>IF(D188="","",D188*Parametri!$B$6)</f>
        <v/>
      </c>
      <c r="H188" s="4" t="str">
        <f t="shared" si="4"/>
        <v/>
      </c>
      <c r="I188" s="3" t="s">
        <v>147</v>
      </c>
      <c r="J188" s="3"/>
      <c r="K188" s="3"/>
    </row>
    <row r="189" spans="1:11">
      <c r="A189" s="14"/>
      <c r="B189" s="3"/>
      <c r="C189" s="3" t="s">
        <v>146</v>
      </c>
      <c r="D189" s="5"/>
      <c r="E189" s="13"/>
      <c r="F189" s="4" t="str">
        <f t="shared" si="5"/>
        <v/>
      </c>
      <c r="G189" s="4" t="str">
        <f>IF(D189="","",D189*Parametri!$B$6)</f>
        <v/>
      </c>
      <c r="H189" s="4" t="str">
        <f t="shared" si="4"/>
        <v/>
      </c>
      <c r="I189" s="3" t="s">
        <v>147</v>
      </c>
      <c r="J189" s="3"/>
      <c r="K189" s="3"/>
    </row>
    <row r="190" spans="1:11">
      <c r="A190" s="14"/>
      <c r="B190" s="3"/>
      <c r="C190" s="3" t="s">
        <v>146</v>
      </c>
      <c r="D190" s="5"/>
      <c r="E190" s="13"/>
      <c r="F190" s="4" t="str">
        <f t="shared" si="5"/>
        <v/>
      </c>
      <c r="G190" s="4" t="str">
        <f>IF(D190="","",D190*Parametri!$B$6)</f>
        <v/>
      </c>
      <c r="H190" s="4" t="str">
        <f t="shared" si="4"/>
        <v/>
      </c>
      <c r="I190" s="3" t="s">
        <v>147</v>
      </c>
      <c r="J190" s="3"/>
      <c r="K190" s="3"/>
    </row>
    <row r="191" spans="1:11">
      <c r="A191" s="14"/>
      <c r="B191" s="3"/>
      <c r="C191" s="3" t="s">
        <v>146</v>
      </c>
      <c r="D191" s="5"/>
      <c r="E191" s="13"/>
      <c r="F191" s="4" t="str">
        <f t="shared" si="5"/>
        <v/>
      </c>
      <c r="G191" s="4" t="str">
        <f>IF(D191="","",D191*Parametri!$B$6)</f>
        <v/>
      </c>
      <c r="H191" s="4" t="str">
        <f t="shared" si="4"/>
        <v/>
      </c>
      <c r="I191" s="3" t="s">
        <v>147</v>
      </c>
      <c r="J191" s="3"/>
      <c r="K191" s="3"/>
    </row>
    <row r="192" spans="1:11">
      <c r="A192" s="14"/>
      <c r="B192" s="3"/>
      <c r="C192" s="3" t="s">
        <v>146</v>
      </c>
      <c r="D192" s="5"/>
      <c r="E192" s="13"/>
      <c r="F192" s="4" t="str">
        <f t="shared" si="5"/>
        <v/>
      </c>
      <c r="G192" s="4" t="str">
        <f>IF(D192="","",D192*Parametri!$B$6)</f>
        <v/>
      </c>
      <c r="H192" s="4" t="str">
        <f t="shared" si="4"/>
        <v/>
      </c>
      <c r="I192" s="3" t="s">
        <v>147</v>
      </c>
      <c r="J192" s="3"/>
      <c r="K192" s="3"/>
    </row>
    <row r="193" spans="1:11">
      <c r="A193" s="14"/>
      <c r="B193" s="3"/>
      <c r="C193" s="3" t="s">
        <v>146</v>
      </c>
      <c r="D193" s="5"/>
      <c r="E193" s="13"/>
      <c r="F193" s="4" t="str">
        <f t="shared" si="5"/>
        <v/>
      </c>
      <c r="G193" s="4" t="str">
        <f>IF(D193="","",D193*Parametri!$B$6)</f>
        <v/>
      </c>
      <c r="H193" s="4" t="str">
        <f t="shared" si="4"/>
        <v/>
      </c>
      <c r="I193" s="3" t="s">
        <v>147</v>
      </c>
      <c r="J193" s="3"/>
      <c r="K193" s="3"/>
    </row>
    <row r="194" spans="1:11">
      <c r="A194" s="14"/>
      <c r="B194" s="3"/>
      <c r="C194" s="3" t="s">
        <v>146</v>
      </c>
      <c r="D194" s="5"/>
      <c r="E194" s="13"/>
      <c r="F194" s="4" t="str">
        <f t="shared" si="5"/>
        <v/>
      </c>
      <c r="G194" s="4" t="str">
        <f>IF(D194="","",D194*Parametri!$B$6)</f>
        <v/>
      </c>
      <c r="H194" s="4" t="str">
        <f t="shared" si="4"/>
        <v/>
      </c>
      <c r="I194" s="3" t="s">
        <v>147</v>
      </c>
      <c r="J194" s="3"/>
      <c r="K194" s="3"/>
    </row>
    <row r="195" spans="1:11">
      <c r="A195" s="14"/>
      <c r="B195" s="3"/>
      <c r="C195" s="3" t="s">
        <v>146</v>
      </c>
      <c r="D195" s="5"/>
      <c r="E195" s="13"/>
      <c r="F195" s="4" t="str">
        <f t="shared" si="5"/>
        <v/>
      </c>
      <c r="G195" s="4" t="str">
        <f>IF(D195="","",D195*Parametri!$B$6)</f>
        <v/>
      </c>
      <c r="H195" s="4" t="str">
        <f t="shared" si="4"/>
        <v/>
      </c>
      <c r="I195" s="3" t="s">
        <v>147</v>
      </c>
      <c r="J195" s="3"/>
      <c r="K195" s="3"/>
    </row>
    <row r="196" spans="1:11">
      <c r="A196" s="14"/>
      <c r="B196" s="3"/>
      <c r="C196" s="3" t="s">
        <v>146</v>
      </c>
      <c r="D196" s="5"/>
      <c r="E196" s="13"/>
      <c r="F196" s="4" t="str">
        <f t="shared" si="5"/>
        <v/>
      </c>
      <c r="G196" s="4" t="str">
        <f>IF(D196="","",D196*Parametri!$B$6)</f>
        <v/>
      </c>
      <c r="H196" s="4" t="str">
        <f t="shared" ref="H196:H259" si="6">IF(F196="","",F196-G196)</f>
        <v/>
      </c>
      <c r="I196" s="3" t="s">
        <v>147</v>
      </c>
      <c r="J196" s="3"/>
      <c r="K196" s="3"/>
    </row>
    <row r="197" spans="1:11">
      <c r="A197" s="14"/>
      <c r="B197" s="3"/>
      <c r="C197" s="3" t="s">
        <v>146</v>
      </c>
      <c r="D197" s="5"/>
      <c r="E197" s="13"/>
      <c r="F197" s="4" t="str">
        <f t="shared" si="5"/>
        <v/>
      </c>
      <c r="G197" s="4" t="str">
        <f>IF(D197="","",D197*Parametri!$B$6)</f>
        <v/>
      </c>
      <c r="H197" s="4" t="str">
        <f t="shared" si="6"/>
        <v/>
      </c>
      <c r="I197" s="3" t="s">
        <v>147</v>
      </c>
      <c r="J197" s="3"/>
      <c r="K197" s="3"/>
    </row>
    <row r="198" spans="1:11">
      <c r="A198" s="14"/>
      <c r="B198" s="3"/>
      <c r="C198" s="3" t="s">
        <v>146</v>
      </c>
      <c r="D198" s="5"/>
      <c r="E198" s="13"/>
      <c r="F198" s="4" t="str">
        <f t="shared" si="5"/>
        <v/>
      </c>
      <c r="G198" s="4" t="str">
        <f>IF(D198="","",D198*Parametri!$B$6)</f>
        <v/>
      </c>
      <c r="H198" s="4" t="str">
        <f t="shared" si="6"/>
        <v/>
      </c>
      <c r="I198" s="3" t="s">
        <v>147</v>
      </c>
      <c r="J198" s="3"/>
      <c r="K198" s="3"/>
    </row>
    <row r="199" spans="1:11">
      <c r="A199" s="8"/>
      <c r="B199" s="3"/>
      <c r="C199" s="3" t="s">
        <v>146</v>
      </c>
      <c r="D199" s="5"/>
      <c r="E199" s="13"/>
      <c r="F199" s="4" t="str">
        <f t="shared" si="5"/>
        <v/>
      </c>
      <c r="G199" s="4" t="str">
        <f>IF(D199="","",D199*Parametri!$B$6)</f>
        <v/>
      </c>
      <c r="H199" s="4" t="str">
        <f t="shared" si="6"/>
        <v/>
      </c>
      <c r="I199" s="3" t="s">
        <v>147</v>
      </c>
      <c r="J199" s="3"/>
      <c r="K199" s="3"/>
    </row>
    <row r="200" spans="1:11">
      <c r="A200" s="8"/>
      <c r="B200" s="3"/>
      <c r="C200" s="3" t="s">
        <v>146</v>
      </c>
      <c r="D200" s="5"/>
      <c r="E200" s="13"/>
      <c r="F200" s="4" t="str">
        <f t="shared" si="5"/>
        <v/>
      </c>
      <c r="G200" s="4" t="str">
        <f>IF(D200="","",D200*Parametri!$B$6)</f>
        <v/>
      </c>
      <c r="H200" s="4" t="str">
        <f t="shared" si="6"/>
        <v/>
      </c>
      <c r="I200" s="3" t="s">
        <v>147</v>
      </c>
      <c r="J200" s="3"/>
      <c r="K200" s="3"/>
    </row>
    <row r="201" spans="1:11">
      <c r="A201" s="8"/>
      <c r="B201" s="3"/>
      <c r="C201" s="3" t="s">
        <v>146</v>
      </c>
      <c r="D201" s="5"/>
      <c r="E201" s="13"/>
      <c r="F201" s="4" t="str">
        <f t="shared" si="5"/>
        <v/>
      </c>
      <c r="G201" s="4" t="str">
        <f>IF(D201="","",D201*Parametri!$B$6)</f>
        <v/>
      </c>
      <c r="H201" s="4" t="str">
        <f t="shared" si="6"/>
        <v/>
      </c>
      <c r="I201" s="3" t="s">
        <v>147</v>
      </c>
      <c r="J201" s="3"/>
      <c r="K201" s="3"/>
    </row>
    <row r="202" spans="1:11">
      <c r="A202" s="8"/>
      <c r="B202" s="3"/>
      <c r="C202" s="3" t="s">
        <v>146</v>
      </c>
      <c r="D202" s="5"/>
      <c r="E202" s="13"/>
      <c r="F202" s="4" t="str">
        <f t="shared" si="5"/>
        <v/>
      </c>
      <c r="G202" s="4" t="str">
        <f>IF(D202="","",D202*Parametri!$B$6)</f>
        <v/>
      </c>
      <c r="H202" s="4" t="str">
        <f t="shared" si="6"/>
        <v/>
      </c>
      <c r="I202" s="3" t="s">
        <v>147</v>
      </c>
      <c r="J202" s="3"/>
      <c r="K202" s="3"/>
    </row>
    <row r="203" spans="1:11">
      <c r="A203" s="8"/>
      <c r="B203" s="3"/>
      <c r="C203" s="3" t="s">
        <v>146</v>
      </c>
      <c r="D203" s="5"/>
      <c r="E203" s="13"/>
      <c r="F203" s="4" t="str">
        <f t="shared" ref="F203:F266" si="7">IF(OR(D203="",E203=""),"",D203*E203)</f>
        <v/>
      </c>
      <c r="G203" s="4" t="str">
        <f>IF(D203="","",D203*Parametri!$B$6)</f>
        <v/>
      </c>
      <c r="H203" s="4" t="str">
        <f t="shared" si="6"/>
        <v/>
      </c>
      <c r="I203" s="3" t="s">
        <v>147</v>
      </c>
      <c r="J203" s="3"/>
      <c r="K203" s="3"/>
    </row>
    <row r="204" spans="1:11">
      <c r="A204" s="8"/>
      <c r="B204" s="3"/>
      <c r="C204" s="3" t="s">
        <v>146</v>
      </c>
      <c r="D204" s="5"/>
      <c r="E204" s="13"/>
      <c r="F204" s="4" t="str">
        <f t="shared" si="7"/>
        <v/>
      </c>
      <c r="G204" s="4" t="str">
        <f>IF(D204="","",D204*Parametri!$B$6)</f>
        <v/>
      </c>
      <c r="H204" s="4" t="str">
        <f t="shared" si="6"/>
        <v/>
      </c>
      <c r="I204" s="3" t="s">
        <v>147</v>
      </c>
      <c r="J204" s="3"/>
      <c r="K204" s="3"/>
    </row>
    <row r="205" spans="1:11">
      <c r="A205" s="8"/>
      <c r="B205" s="3"/>
      <c r="C205" s="3" t="s">
        <v>146</v>
      </c>
      <c r="D205" s="5"/>
      <c r="E205" s="13"/>
      <c r="F205" s="4" t="str">
        <f t="shared" si="7"/>
        <v/>
      </c>
      <c r="G205" s="4" t="str">
        <f>IF(D205="","",D205*Parametri!$B$6)</f>
        <v/>
      </c>
      <c r="H205" s="4" t="str">
        <f t="shared" si="6"/>
        <v/>
      </c>
      <c r="I205" s="3" t="s">
        <v>147</v>
      </c>
      <c r="J205" s="3"/>
      <c r="K205" s="3"/>
    </row>
    <row r="206" spans="1:11">
      <c r="A206" s="8"/>
      <c r="B206" s="3"/>
      <c r="C206" s="3" t="s">
        <v>146</v>
      </c>
      <c r="D206" s="5"/>
      <c r="E206" s="13"/>
      <c r="F206" s="4" t="str">
        <f t="shared" si="7"/>
        <v/>
      </c>
      <c r="G206" s="4" t="str">
        <f>IF(D206="","",D206*Parametri!$B$6)</f>
        <v/>
      </c>
      <c r="H206" s="4" t="str">
        <f t="shared" si="6"/>
        <v/>
      </c>
      <c r="I206" s="3" t="s">
        <v>147</v>
      </c>
      <c r="J206" s="3"/>
      <c r="K206" s="3"/>
    </row>
    <row r="207" spans="1:11">
      <c r="A207" s="8"/>
      <c r="B207" s="3"/>
      <c r="C207" s="3" t="s">
        <v>146</v>
      </c>
      <c r="D207" s="5"/>
      <c r="E207" s="13"/>
      <c r="F207" s="4" t="str">
        <f t="shared" si="7"/>
        <v/>
      </c>
      <c r="G207" s="4" t="str">
        <f>IF(D207="","",D207*Parametri!$B$6)</f>
        <v/>
      </c>
      <c r="H207" s="4" t="str">
        <f t="shared" si="6"/>
        <v/>
      </c>
      <c r="I207" s="3" t="s">
        <v>147</v>
      </c>
      <c r="J207" s="3"/>
      <c r="K207" s="3"/>
    </row>
    <row r="208" spans="1:11">
      <c r="A208" s="8"/>
      <c r="B208" s="3"/>
      <c r="C208" s="3" t="s">
        <v>146</v>
      </c>
      <c r="D208" s="5"/>
      <c r="E208" s="13"/>
      <c r="F208" s="4" t="str">
        <f t="shared" si="7"/>
        <v/>
      </c>
      <c r="G208" s="4" t="str">
        <f>IF(D208="","",D208*Parametri!$B$6)</f>
        <v/>
      </c>
      <c r="H208" s="4" t="str">
        <f t="shared" si="6"/>
        <v/>
      </c>
      <c r="I208" s="3" t="s">
        <v>147</v>
      </c>
      <c r="J208" s="3"/>
      <c r="K208" s="3"/>
    </row>
    <row r="209" spans="1:11">
      <c r="A209" s="8"/>
      <c r="B209" s="3"/>
      <c r="C209" s="3" t="s">
        <v>146</v>
      </c>
      <c r="D209" s="5"/>
      <c r="E209" s="13"/>
      <c r="F209" s="4" t="str">
        <f t="shared" si="7"/>
        <v/>
      </c>
      <c r="G209" s="4" t="str">
        <f>IF(D209="","",D209*Parametri!$B$6)</f>
        <v/>
      </c>
      <c r="H209" s="4" t="str">
        <f t="shared" si="6"/>
        <v/>
      </c>
      <c r="I209" s="3" t="s">
        <v>147</v>
      </c>
      <c r="J209" s="3"/>
      <c r="K209" s="3"/>
    </row>
    <row r="210" spans="1:11">
      <c r="A210" s="8"/>
      <c r="B210" s="3"/>
      <c r="C210" s="3" t="s">
        <v>146</v>
      </c>
      <c r="D210" s="5"/>
      <c r="E210" s="13"/>
      <c r="F210" s="4" t="str">
        <f t="shared" si="7"/>
        <v/>
      </c>
      <c r="G210" s="4" t="str">
        <f>IF(D210="","",D210*Parametri!$B$6)</f>
        <v/>
      </c>
      <c r="H210" s="4" t="str">
        <f t="shared" si="6"/>
        <v/>
      </c>
      <c r="I210" s="3" t="s">
        <v>147</v>
      </c>
      <c r="J210" s="3"/>
      <c r="K210" s="3"/>
    </row>
    <row r="211" spans="1:11">
      <c r="A211" s="8"/>
      <c r="B211" s="3"/>
      <c r="C211" s="3" t="s">
        <v>146</v>
      </c>
      <c r="D211" s="5"/>
      <c r="E211" s="13"/>
      <c r="F211" s="4" t="str">
        <f t="shared" si="7"/>
        <v/>
      </c>
      <c r="G211" s="4" t="str">
        <f>IF(D211="","",D211*Parametri!$B$6)</f>
        <v/>
      </c>
      <c r="H211" s="4" t="str">
        <f t="shared" si="6"/>
        <v/>
      </c>
      <c r="I211" s="3" t="s">
        <v>147</v>
      </c>
      <c r="J211" s="3"/>
      <c r="K211" s="3"/>
    </row>
    <row r="212" spans="1:11">
      <c r="A212" s="8"/>
      <c r="B212" s="3"/>
      <c r="C212" s="3" t="s">
        <v>146</v>
      </c>
      <c r="D212" s="5"/>
      <c r="E212" s="13"/>
      <c r="F212" s="4" t="str">
        <f t="shared" si="7"/>
        <v/>
      </c>
      <c r="G212" s="4" t="str">
        <f>IF(D212="","",D212*Parametri!$B$6)</f>
        <v/>
      </c>
      <c r="H212" s="4" t="str">
        <f t="shared" si="6"/>
        <v/>
      </c>
      <c r="I212" s="3" t="s">
        <v>147</v>
      </c>
      <c r="J212" s="3"/>
      <c r="K212" s="3"/>
    </row>
    <row r="213" spans="1:11">
      <c r="A213" s="8"/>
      <c r="B213" s="3"/>
      <c r="C213" s="3" t="s">
        <v>146</v>
      </c>
      <c r="D213" s="5"/>
      <c r="E213" s="13"/>
      <c r="F213" s="4" t="str">
        <f t="shared" si="7"/>
        <v/>
      </c>
      <c r="G213" s="4" t="str">
        <f>IF(D213="","",D213*Parametri!$B$6)</f>
        <v/>
      </c>
      <c r="H213" s="4" t="str">
        <f t="shared" si="6"/>
        <v/>
      </c>
      <c r="I213" s="3" t="s">
        <v>147</v>
      </c>
      <c r="J213" s="3"/>
      <c r="K213" s="3"/>
    </row>
    <row r="214" spans="1:11">
      <c r="A214" s="8"/>
      <c r="B214" s="3"/>
      <c r="C214" s="3" t="s">
        <v>146</v>
      </c>
      <c r="D214" s="5"/>
      <c r="E214" s="13"/>
      <c r="F214" s="4" t="str">
        <f t="shared" si="7"/>
        <v/>
      </c>
      <c r="G214" s="4" t="str">
        <f>IF(D214="","",D214*Parametri!$B$6)</f>
        <v/>
      </c>
      <c r="H214" s="4" t="str">
        <f t="shared" si="6"/>
        <v/>
      </c>
      <c r="I214" s="3" t="s">
        <v>147</v>
      </c>
      <c r="J214" s="3"/>
      <c r="K214" s="3"/>
    </row>
    <row r="215" spans="1:11">
      <c r="A215" s="8"/>
      <c r="B215" s="3"/>
      <c r="C215" s="3" t="s">
        <v>146</v>
      </c>
      <c r="D215" s="5"/>
      <c r="E215" s="13"/>
      <c r="F215" s="4" t="str">
        <f t="shared" si="7"/>
        <v/>
      </c>
      <c r="G215" s="4" t="str">
        <f>IF(D215="","",D215*Parametri!$B$6)</f>
        <v/>
      </c>
      <c r="H215" s="4" t="str">
        <f t="shared" si="6"/>
        <v/>
      </c>
      <c r="I215" s="3" t="s">
        <v>147</v>
      </c>
      <c r="J215" s="3"/>
      <c r="K215" s="3"/>
    </row>
    <row r="216" spans="1:11">
      <c r="A216" s="8"/>
      <c r="B216" s="3"/>
      <c r="C216" s="3" t="s">
        <v>146</v>
      </c>
      <c r="D216" s="5"/>
      <c r="E216" s="13"/>
      <c r="F216" s="4" t="str">
        <f t="shared" si="7"/>
        <v/>
      </c>
      <c r="G216" s="4" t="str">
        <f>IF(D216="","",D216*Parametri!$B$6)</f>
        <v/>
      </c>
      <c r="H216" s="4" t="str">
        <f t="shared" si="6"/>
        <v/>
      </c>
      <c r="I216" s="3" t="s">
        <v>147</v>
      </c>
      <c r="J216" s="3"/>
      <c r="K216" s="3"/>
    </row>
    <row r="217" spans="1:11">
      <c r="A217" s="8"/>
      <c r="B217" s="3"/>
      <c r="C217" s="3" t="s">
        <v>146</v>
      </c>
      <c r="D217" s="5"/>
      <c r="E217" s="13"/>
      <c r="F217" s="4" t="str">
        <f t="shared" si="7"/>
        <v/>
      </c>
      <c r="G217" s="4" t="str">
        <f>IF(D217="","",D217*Parametri!$B$6)</f>
        <v/>
      </c>
      <c r="H217" s="4" t="str">
        <f t="shared" si="6"/>
        <v/>
      </c>
      <c r="I217" s="3" t="s">
        <v>147</v>
      </c>
      <c r="J217" s="3"/>
      <c r="K217" s="3"/>
    </row>
    <row r="218" spans="1:11">
      <c r="A218" s="8"/>
      <c r="B218" s="3"/>
      <c r="C218" s="3" t="s">
        <v>146</v>
      </c>
      <c r="D218" s="5"/>
      <c r="E218" s="13"/>
      <c r="F218" s="4" t="str">
        <f t="shared" si="7"/>
        <v/>
      </c>
      <c r="G218" s="4" t="str">
        <f>IF(D218="","",D218*Parametri!$B$6)</f>
        <v/>
      </c>
      <c r="H218" s="4" t="str">
        <f t="shared" si="6"/>
        <v/>
      </c>
      <c r="I218" s="3" t="s">
        <v>147</v>
      </c>
      <c r="J218" s="3"/>
      <c r="K218" s="3"/>
    </row>
    <row r="219" spans="1:11">
      <c r="A219" s="8"/>
      <c r="B219" s="3"/>
      <c r="C219" s="3" t="s">
        <v>146</v>
      </c>
      <c r="D219" s="5"/>
      <c r="E219" s="13"/>
      <c r="F219" s="4" t="str">
        <f t="shared" si="7"/>
        <v/>
      </c>
      <c r="G219" s="4" t="str">
        <f>IF(D219="","",D219*Parametri!$B$6)</f>
        <v/>
      </c>
      <c r="H219" s="4" t="str">
        <f t="shared" si="6"/>
        <v/>
      </c>
      <c r="I219" s="3" t="s">
        <v>147</v>
      </c>
      <c r="J219" s="3"/>
      <c r="K219" s="3"/>
    </row>
    <row r="220" spans="1:11">
      <c r="A220" s="8"/>
      <c r="B220" s="3"/>
      <c r="C220" s="3" t="s">
        <v>146</v>
      </c>
      <c r="D220" s="5"/>
      <c r="E220" s="13"/>
      <c r="F220" s="4" t="str">
        <f t="shared" si="7"/>
        <v/>
      </c>
      <c r="G220" s="4" t="str">
        <f>IF(D220="","",D220*Parametri!$B$6)</f>
        <v/>
      </c>
      <c r="H220" s="4" t="str">
        <f t="shared" si="6"/>
        <v/>
      </c>
      <c r="I220" s="3" t="s">
        <v>147</v>
      </c>
      <c r="J220" s="3"/>
      <c r="K220" s="3"/>
    </row>
    <row r="221" spans="1:11">
      <c r="A221" s="8"/>
      <c r="B221" s="3"/>
      <c r="C221" s="3" t="s">
        <v>146</v>
      </c>
      <c r="D221" s="5"/>
      <c r="E221" s="13"/>
      <c r="F221" s="4" t="str">
        <f t="shared" si="7"/>
        <v/>
      </c>
      <c r="G221" s="4" t="str">
        <f>IF(D221="","",D221*Parametri!$B$6)</f>
        <v/>
      </c>
      <c r="H221" s="4" t="str">
        <f t="shared" si="6"/>
        <v/>
      </c>
      <c r="I221" s="3" t="s">
        <v>147</v>
      </c>
      <c r="J221" s="3"/>
      <c r="K221" s="3"/>
    </row>
    <row r="222" spans="1:11">
      <c r="A222" s="8"/>
      <c r="B222" s="3"/>
      <c r="C222" s="3" t="s">
        <v>146</v>
      </c>
      <c r="D222" s="5"/>
      <c r="E222" s="13"/>
      <c r="F222" s="4" t="str">
        <f t="shared" si="7"/>
        <v/>
      </c>
      <c r="G222" s="4" t="str">
        <f>IF(D222="","",D222*Parametri!$B$6)</f>
        <v/>
      </c>
      <c r="H222" s="4" t="str">
        <f t="shared" si="6"/>
        <v/>
      </c>
      <c r="I222" s="3" t="s">
        <v>147</v>
      </c>
      <c r="J222" s="3"/>
      <c r="K222" s="3"/>
    </row>
    <row r="223" spans="1:11">
      <c r="A223" s="8"/>
      <c r="B223" s="3"/>
      <c r="C223" s="3" t="s">
        <v>146</v>
      </c>
      <c r="D223" s="5"/>
      <c r="E223" s="13"/>
      <c r="F223" s="4" t="str">
        <f t="shared" si="7"/>
        <v/>
      </c>
      <c r="G223" s="4" t="str">
        <f>IF(D223="","",D223*Parametri!$B$6)</f>
        <v/>
      </c>
      <c r="H223" s="4" t="str">
        <f t="shared" si="6"/>
        <v/>
      </c>
      <c r="I223" s="3" t="s">
        <v>147</v>
      </c>
      <c r="J223" s="3"/>
      <c r="K223" s="3"/>
    </row>
    <row r="224" spans="1:11">
      <c r="A224" s="8"/>
      <c r="B224" s="3"/>
      <c r="C224" s="3" t="s">
        <v>146</v>
      </c>
      <c r="D224" s="5"/>
      <c r="E224" s="13"/>
      <c r="F224" s="4" t="str">
        <f t="shared" si="7"/>
        <v/>
      </c>
      <c r="G224" s="4" t="str">
        <f>IF(D224="","",D224*Parametri!$B$6)</f>
        <v/>
      </c>
      <c r="H224" s="4" t="str">
        <f t="shared" si="6"/>
        <v/>
      </c>
      <c r="I224" s="3" t="s">
        <v>147</v>
      </c>
      <c r="J224" s="3"/>
      <c r="K224" s="3"/>
    </row>
    <row r="225" spans="1:11">
      <c r="A225" s="8"/>
      <c r="B225" s="3"/>
      <c r="C225" s="3" t="s">
        <v>146</v>
      </c>
      <c r="D225" s="5"/>
      <c r="E225" s="13"/>
      <c r="F225" s="4" t="str">
        <f t="shared" si="7"/>
        <v/>
      </c>
      <c r="G225" s="4" t="str">
        <f>IF(D225="","",D225*Parametri!$B$6)</f>
        <v/>
      </c>
      <c r="H225" s="4" t="str">
        <f t="shared" si="6"/>
        <v/>
      </c>
      <c r="I225" s="3" t="s">
        <v>147</v>
      </c>
      <c r="J225" s="3"/>
      <c r="K225" s="3"/>
    </row>
    <row r="226" spans="1:11">
      <c r="A226" s="8"/>
      <c r="B226" s="3"/>
      <c r="C226" s="3" t="s">
        <v>146</v>
      </c>
      <c r="D226" s="5"/>
      <c r="E226" s="13"/>
      <c r="F226" s="4" t="str">
        <f t="shared" si="7"/>
        <v/>
      </c>
      <c r="G226" s="4" t="str">
        <f>IF(D226="","",D226*Parametri!$B$6)</f>
        <v/>
      </c>
      <c r="H226" s="4" t="str">
        <f t="shared" si="6"/>
        <v/>
      </c>
      <c r="I226" s="3" t="s">
        <v>147</v>
      </c>
      <c r="J226" s="3"/>
      <c r="K226" s="3"/>
    </row>
    <row r="227" spans="1:11">
      <c r="A227" s="8"/>
      <c r="B227" s="3"/>
      <c r="C227" s="3" t="s">
        <v>146</v>
      </c>
      <c r="D227" s="5"/>
      <c r="E227" s="13"/>
      <c r="F227" s="4" t="str">
        <f t="shared" si="7"/>
        <v/>
      </c>
      <c r="G227" s="4" t="str">
        <f>IF(D227="","",D227*Parametri!$B$6)</f>
        <v/>
      </c>
      <c r="H227" s="4" t="str">
        <f t="shared" si="6"/>
        <v/>
      </c>
      <c r="I227" s="3" t="s">
        <v>147</v>
      </c>
      <c r="J227" s="3"/>
      <c r="K227" s="3"/>
    </row>
    <row r="228" spans="1:11">
      <c r="A228" s="8"/>
      <c r="B228" s="3"/>
      <c r="C228" s="3" t="s">
        <v>146</v>
      </c>
      <c r="D228" s="5"/>
      <c r="E228" s="13"/>
      <c r="F228" s="4" t="str">
        <f t="shared" si="7"/>
        <v/>
      </c>
      <c r="G228" s="4" t="str">
        <f>IF(D228="","",D228*Parametri!$B$6)</f>
        <v/>
      </c>
      <c r="H228" s="4" t="str">
        <f t="shared" si="6"/>
        <v/>
      </c>
      <c r="I228" s="3" t="s">
        <v>147</v>
      </c>
      <c r="J228" s="3"/>
      <c r="K228" s="3"/>
    </row>
    <row r="229" spans="1:11">
      <c r="A229" s="8"/>
      <c r="B229" s="3"/>
      <c r="C229" s="3" t="s">
        <v>146</v>
      </c>
      <c r="D229" s="5"/>
      <c r="E229" s="13"/>
      <c r="F229" s="4" t="str">
        <f t="shared" si="7"/>
        <v/>
      </c>
      <c r="G229" s="4" t="str">
        <f>IF(D229="","",D229*Parametri!$B$6)</f>
        <v/>
      </c>
      <c r="H229" s="4" t="str">
        <f t="shared" si="6"/>
        <v/>
      </c>
      <c r="I229" s="3" t="s">
        <v>147</v>
      </c>
      <c r="J229" s="3"/>
      <c r="K229" s="3"/>
    </row>
    <row r="230" spans="1:11">
      <c r="A230" s="8"/>
      <c r="B230" s="3"/>
      <c r="C230" s="3" t="s">
        <v>146</v>
      </c>
      <c r="D230" s="5"/>
      <c r="E230" s="13"/>
      <c r="F230" s="4" t="str">
        <f t="shared" si="7"/>
        <v/>
      </c>
      <c r="G230" s="4" t="str">
        <f>IF(D230="","",D230*Parametri!$B$6)</f>
        <v/>
      </c>
      <c r="H230" s="4" t="str">
        <f t="shared" si="6"/>
        <v/>
      </c>
      <c r="I230" s="3" t="s">
        <v>147</v>
      </c>
      <c r="J230" s="3"/>
      <c r="K230" s="3"/>
    </row>
    <row r="231" spans="1:11">
      <c r="A231" s="8"/>
      <c r="B231" s="3"/>
      <c r="C231" s="3" t="s">
        <v>146</v>
      </c>
      <c r="D231" s="5"/>
      <c r="E231" s="13"/>
      <c r="F231" s="4" t="str">
        <f t="shared" si="7"/>
        <v/>
      </c>
      <c r="G231" s="4" t="str">
        <f>IF(D231="","",D231*Parametri!$B$6)</f>
        <v/>
      </c>
      <c r="H231" s="4" t="str">
        <f t="shared" si="6"/>
        <v/>
      </c>
      <c r="I231" s="3" t="s">
        <v>147</v>
      </c>
      <c r="J231" s="3"/>
      <c r="K231" s="3"/>
    </row>
    <row r="232" spans="1:11">
      <c r="A232" s="8"/>
      <c r="B232" s="3"/>
      <c r="C232" s="3" t="s">
        <v>146</v>
      </c>
      <c r="D232" s="5"/>
      <c r="E232" s="13"/>
      <c r="F232" s="4" t="str">
        <f t="shared" si="7"/>
        <v/>
      </c>
      <c r="G232" s="4" t="str">
        <f>IF(D232="","",D232*Parametri!$B$6)</f>
        <v/>
      </c>
      <c r="H232" s="4" t="str">
        <f t="shared" si="6"/>
        <v/>
      </c>
      <c r="I232" s="3" t="s">
        <v>147</v>
      </c>
      <c r="J232" s="3"/>
      <c r="K232" s="3"/>
    </row>
    <row r="233" spans="1:11">
      <c r="A233" s="8"/>
      <c r="B233" s="3"/>
      <c r="C233" s="3" t="s">
        <v>146</v>
      </c>
      <c r="D233" s="5"/>
      <c r="E233" s="13"/>
      <c r="F233" s="4" t="str">
        <f t="shared" si="7"/>
        <v/>
      </c>
      <c r="G233" s="4" t="str">
        <f>IF(D233="","",D233*Parametri!$B$6)</f>
        <v/>
      </c>
      <c r="H233" s="4" t="str">
        <f t="shared" si="6"/>
        <v/>
      </c>
      <c r="I233" s="3" t="s">
        <v>147</v>
      </c>
      <c r="J233" s="3"/>
      <c r="K233" s="3"/>
    </row>
    <row r="234" spans="1:11">
      <c r="A234" s="8"/>
      <c r="B234" s="3"/>
      <c r="C234" s="3" t="s">
        <v>146</v>
      </c>
      <c r="D234" s="5"/>
      <c r="E234" s="13"/>
      <c r="F234" s="4" t="str">
        <f t="shared" si="7"/>
        <v/>
      </c>
      <c r="G234" s="4" t="str">
        <f>IF(D234="","",D234*Parametri!$B$6)</f>
        <v/>
      </c>
      <c r="H234" s="4" t="str">
        <f t="shared" si="6"/>
        <v/>
      </c>
      <c r="I234" s="3" t="s">
        <v>147</v>
      </c>
      <c r="J234" s="3"/>
      <c r="K234" s="3"/>
    </row>
    <row r="235" spans="1:11">
      <c r="A235" s="8"/>
      <c r="B235" s="3"/>
      <c r="C235" s="3" t="s">
        <v>146</v>
      </c>
      <c r="D235" s="5"/>
      <c r="E235" s="13"/>
      <c r="F235" s="4" t="str">
        <f t="shared" si="7"/>
        <v/>
      </c>
      <c r="G235" s="4" t="str">
        <f>IF(D235="","",D235*Parametri!$B$6)</f>
        <v/>
      </c>
      <c r="H235" s="4" t="str">
        <f t="shared" si="6"/>
        <v/>
      </c>
      <c r="I235" s="3" t="s">
        <v>147</v>
      </c>
      <c r="J235" s="3"/>
      <c r="K235" s="3"/>
    </row>
    <row r="236" spans="1:11">
      <c r="A236" s="8"/>
      <c r="B236" s="3"/>
      <c r="C236" s="3" t="s">
        <v>146</v>
      </c>
      <c r="D236" s="5"/>
      <c r="E236" s="13"/>
      <c r="F236" s="4" t="str">
        <f t="shared" si="7"/>
        <v/>
      </c>
      <c r="G236" s="4" t="str">
        <f>IF(D236="","",D236*Parametri!$B$6)</f>
        <v/>
      </c>
      <c r="H236" s="4" t="str">
        <f t="shared" si="6"/>
        <v/>
      </c>
      <c r="I236" s="3" t="s">
        <v>147</v>
      </c>
      <c r="J236" s="3"/>
      <c r="K236" s="3"/>
    </row>
    <row r="237" spans="1:11">
      <c r="A237" s="8"/>
      <c r="B237" s="3"/>
      <c r="C237" s="3" t="s">
        <v>146</v>
      </c>
      <c r="D237" s="5"/>
      <c r="E237" s="13"/>
      <c r="F237" s="4" t="str">
        <f t="shared" si="7"/>
        <v/>
      </c>
      <c r="G237" s="4" t="str">
        <f>IF(D237="","",D237*Parametri!$B$6)</f>
        <v/>
      </c>
      <c r="H237" s="4" t="str">
        <f t="shared" si="6"/>
        <v/>
      </c>
      <c r="I237" s="3" t="s">
        <v>147</v>
      </c>
      <c r="J237" s="3"/>
      <c r="K237" s="3"/>
    </row>
    <row r="238" spans="1:11">
      <c r="A238" s="8"/>
      <c r="B238" s="3"/>
      <c r="C238" s="3" t="s">
        <v>146</v>
      </c>
      <c r="D238" s="5"/>
      <c r="E238" s="13"/>
      <c r="F238" s="4" t="str">
        <f t="shared" si="7"/>
        <v/>
      </c>
      <c r="G238" s="4" t="str">
        <f>IF(D238="","",D238*Parametri!$B$6)</f>
        <v/>
      </c>
      <c r="H238" s="4" t="str">
        <f t="shared" si="6"/>
        <v/>
      </c>
      <c r="I238" s="3" t="s">
        <v>147</v>
      </c>
      <c r="J238" s="3"/>
      <c r="K238" s="3"/>
    </row>
    <row r="239" spans="1:11">
      <c r="A239" s="8"/>
      <c r="B239" s="3"/>
      <c r="C239" s="3" t="s">
        <v>146</v>
      </c>
      <c r="D239" s="5"/>
      <c r="E239" s="13"/>
      <c r="F239" s="4" t="str">
        <f t="shared" si="7"/>
        <v/>
      </c>
      <c r="G239" s="4" t="str">
        <f>IF(D239="","",D239*Parametri!$B$6)</f>
        <v/>
      </c>
      <c r="H239" s="4" t="str">
        <f t="shared" si="6"/>
        <v/>
      </c>
      <c r="I239" s="3" t="s">
        <v>147</v>
      </c>
      <c r="J239" s="3"/>
      <c r="K239" s="3"/>
    </row>
    <row r="240" spans="1:11">
      <c r="A240" s="8"/>
      <c r="B240" s="3"/>
      <c r="C240" s="3" t="s">
        <v>146</v>
      </c>
      <c r="D240" s="5"/>
      <c r="E240" s="13"/>
      <c r="F240" s="4" t="str">
        <f t="shared" si="7"/>
        <v/>
      </c>
      <c r="G240" s="4" t="str">
        <f>IF(D240="","",D240*Parametri!$B$6)</f>
        <v/>
      </c>
      <c r="H240" s="4" t="str">
        <f t="shared" si="6"/>
        <v/>
      </c>
      <c r="I240" s="3" t="s">
        <v>147</v>
      </c>
      <c r="J240" s="3"/>
      <c r="K240" s="3"/>
    </row>
    <row r="241" spans="1:11">
      <c r="A241" s="8"/>
      <c r="B241" s="3"/>
      <c r="C241" s="3" t="s">
        <v>146</v>
      </c>
      <c r="D241" s="5"/>
      <c r="E241" s="13"/>
      <c r="F241" s="4" t="str">
        <f t="shared" si="7"/>
        <v/>
      </c>
      <c r="G241" s="4" t="str">
        <f>IF(D241="","",D241*Parametri!$B$6)</f>
        <v/>
      </c>
      <c r="H241" s="4" t="str">
        <f t="shared" si="6"/>
        <v/>
      </c>
      <c r="I241" s="3" t="s">
        <v>147</v>
      </c>
      <c r="J241" s="3"/>
      <c r="K241" s="3"/>
    </row>
    <row r="242" spans="1:11">
      <c r="A242" s="8"/>
      <c r="B242" s="3"/>
      <c r="C242" s="3" t="s">
        <v>146</v>
      </c>
      <c r="D242" s="5"/>
      <c r="E242" s="13"/>
      <c r="F242" s="4" t="str">
        <f t="shared" si="7"/>
        <v/>
      </c>
      <c r="G242" s="4" t="str">
        <f>IF(D242="","",D242*Parametri!$B$6)</f>
        <v/>
      </c>
      <c r="H242" s="4" t="str">
        <f t="shared" si="6"/>
        <v/>
      </c>
      <c r="I242" s="3" t="s">
        <v>147</v>
      </c>
      <c r="J242" s="3"/>
      <c r="K242" s="3"/>
    </row>
    <row r="243" spans="1:11">
      <c r="A243" s="8"/>
      <c r="B243" s="3"/>
      <c r="C243" s="3" t="s">
        <v>146</v>
      </c>
      <c r="D243" s="5"/>
      <c r="E243" s="13"/>
      <c r="F243" s="4" t="str">
        <f t="shared" si="7"/>
        <v/>
      </c>
      <c r="G243" s="4" t="str">
        <f>IF(D243="","",D243*Parametri!$B$6)</f>
        <v/>
      </c>
      <c r="H243" s="4" t="str">
        <f t="shared" si="6"/>
        <v/>
      </c>
      <c r="I243" s="3" t="s">
        <v>147</v>
      </c>
      <c r="J243" s="3"/>
      <c r="K243" s="3"/>
    </row>
    <row r="244" spans="1:11">
      <c r="A244" s="8"/>
      <c r="B244" s="3"/>
      <c r="C244" s="3" t="s">
        <v>146</v>
      </c>
      <c r="D244" s="5"/>
      <c r="E244" s="13"/>
      <c r="F244" s="4" t="str">
        <f t="shared" si="7"/>
        <v/>
      </c>
      <c r="G244" s="4" t="str">
        <f>IF(D244="","",D244*Parametri!$B$6)</f>
        <v/>
      </c>
      <c r="H244" s="4" t="str">
        <f t="shared" si="6"/>
        <v/>
      </c>
      <c r="I244" s="3" t="s">
        <v>147</v>
      </c>
      <c r="J244" s="3"/>
      <c r="K244" s="3"/>
    </row>
    <row r="245" spans="1:11">
      <c r="A245" s="8"/>
      <c r="B245" s="3"/>
      <c r="C245" s="3" t="s">
        <v>146</v>
      </c>
      <c r="D245" s="5"/>
      <c r="E245" s="13"/>
      <c r="F245" s="4" t="str">
        <f t="shared" si="7"/>
        <v/>
      </c>
      <c r="G245" s="4" t="str">
        <f>IF(D245="","",D245*Parametri!$B$6)</f>
        <v/>
      </c>
      <c r="H245" s="4" t="str">
        <f t="shared" si="6"/>
        <v/>
      </c>
      <c r="I245" s="3" t="s">
        <v>147</v>
      </c>
      <c r="J245" s="3"/>
      <c r="K245" s="3"/>
    </row>
    <row r="246" spans="1:11">
      <c r="A246" s="8"/>
      <c r="B246" s="3"/>
      <c r="C246" s="3" t="s">
        <v>146</v>
      </c>
      <c r="D246" s="5"/>
      <c r="E246" s="13"/>
      <c r="F246" s="4" t="str">
        <f t="shared" si="7"/>
        <v/>
      </c>
      <c r="G246" s="4" t="str">
        <f>IF(D246="","",D246*Parametri!$B$6)</f>
        <v/>
      </c>
      <c r="H246" s="4" t="str">
        <f t="shared" si="6"/>
        <v/>
      </c>
      <c r="I246" s="3" t="s">
        <v>147</v>
      </c>
      <c r="J246" s="3"/>
      <c r="K246" s="3"/>
    </row>
    <row r="247" spans="1:11">
      <c r="A247" s="8"/>
      <c r="B247" s="3"/>
      <c r="C247" s="3" t="s">
        <v>146</v>
      </c>
      <c r="D247" s="5"/>
      <c r="E247" s="13"/>
      <c r="F247" s="4" t="str">
        <f t="shared" si="7"/>
        <v/>
      </c>
      <c r="G247" s="4" t="str">
        <f>IF(D247="","",D247*Parametri!$B$6)</f>
        <v/>
      </c>
      <c r="H247" s="4" t="str">
        <f t="shared" si="6"/>
        <v/>
      </c>
      <c r="I247" s="3" t="s">
        <v>147</v>
      </c>
      <c r="J247" s="3"/>
      <c r="K247" s="3"/>
    </row>
    <row r="248" spans="1:11">
      <c r="A248" s="8"/>
      <c r="B248" s="3"/>
      <c r="C248" s="3" t="s">
        <v>146</v>
      </c>
      <c r="D248" s="5"/>
      <c r="E248" s="13"/>
      <c r="F248" s="4" t="str">
        <f t="shared" si="7"/>
        <v/>
      </c>
      <c r="G248" s="4" t="str">
        <f>IF(D248="","",D248*Parametri!$B$6)</f>
        <v/>
      </c>
      <c r="H248" s="4" t="str">
        <f t="shared" si="6"/>
        <v/>
      </c>
      <c r="I248" s="3" t="s">
        <v>147</v>
      </c>
      <c r="J248" s="3"/>
      <c r="K248" s="3"/>
    </row>
    <row r="249" spans="1:11">
      <c r="A249" s="8"/>
      <c r="B249" s="3"/>
      <c r="C249" s="3" t="s">
        <v>146</v>
      </c>
      <c r="D249" s="5"/>
      <c r="E249" s="13"/>
      <c r="F249" s="4" t="str">
        <f t="shared" si="7"/>
        <v/>
      </c>
      <c r="G249" s="4" t="str">
        <f>IF(D249="","",D249*Parametri!$B$6)</f>
        <v/>
      </c>
      <c r="H249" s="4" t="str">
        <f t="shared" si="6"/>
        <v/>
      </c>
      <c r="I249" s="3" t="s">
        <v>147</v>
      </c>
      <c r="J249" s="3"/>
      <c r="K249" s="3"/>
    </row>
    <row r="250" spans="1:11">
      <c r="A250" s="8"/>
      <c r="B250" s="3"/>
      <c r="C250" s="3" t="s">
        <v>146</v>
      </c>
      <c r="D250" s="5"/>
      <c r="E250" s="13"/>
      <c r="F250" s="4" t="str">
        <f t="shared" si="7"/>
        <v/>
      </c>
      <c r="G250" s="4" t="str">
        <f>IF(D250="","",D250*Parametri!$B$6)</f>
        <v/>
      </c>
      <c r="H250" s="4" t="str">
        <f t="shared" si="6"/>
        <v/>
      </c>
      <c r="I250" s="3" t="s">
        <v>147</v>
      </c>
      <c r="J250" s="3"/>
      <c r="K250" s="3"/>
    </row>
    <row r="251" spans="1:11">
      <c r="A251" s="8"/>
      <c r="B251" s="3"/>
      <c r="C251" s="3" t="s">
        <v>146</v>
      </c>
      <c r="D251" s="5"/>
      <c r="E251" s="13"/>
      <c r="F251" s="4" t="str">
        <f t="shared" si="7"/>
        <v/>
      </c>
      <c r="G251" s="4" t="str">
        <f>IF(D251="","",D251*Parametri!$B$6)</f>
        <v/>
      </c>
      <c r="H251" s="4" t="str">
        <f t="shared" si="6"/>
        <v/>
      </c>
      <c r="I251" s="3" t="s">
        <v>147</v>
      </c>
      <c r="J251" s="3"/>
      <c r="K251" s="3"/>
    </row>
    <row r="252" spans="1:11">
      <c r="A252" s="8"/>
      <c r="B252" s="3"/>
      <c r="C252" s="3" t="s">
        <v>146</v>
      </c>
      <c r="D252" s="5"/>
      <c r="E252" s="13"/>
      <c r="F252" s="4" t="str">
        <f t="shared" si="7"/>
        <v/>
      </c>
      <c r="G252" s="4" t="str">
        <f>IF(D252="","",D252*Parametri!$B$6)</f>
        <v/>
      </c>
      <c r="H252" s="4" t="str">
        <f t="shared" si="6"/>
        <v/>
      </c>
      <c r="I252" s="3" t="s">
        <v>147</v>
      </c>
      <c r="J252" s="3"/>
      <c r="K252" s="3"/>
    </row>
    <row r="253" spans="1:11">
      <c r="A253" s="8"/>
      <c r="B253" s="3"/>
      <c r="C253" s="3" t="s">
        <v>146</v>
      </c>
      <c r="D253" s="5"/>
      <c r="E253" s="13"/>
      <c r="F253" s="4" t="str">
        <f t="shared" si="7"/>
        <v/>
      </c>
      <c r="G253" s="4" t="str">
        <f>IF(D253="","",D253*Parametri!$B$6)</f>
        <v/>
      </c>
      <c r="H253" s="4" t="str">
        <f t="shared" si="6"/>
        <v/>
      </c>
      <c r="I253" s="3" t="s">
        <v>147</v>
      </c>
      <c r="J253" s="3"/>
      <c r="K253" s="3"/>
    </row>
    <row r="254" spans="1:11">
      <c r="A254" s="8"/>
      <c r="B254" s="3"/>
      <c r="C254" s="3" t="s">
        <v>146</v>
      </c>
      <c r="D254" s="5"/>
      <c r="E254" s="13"/>
      <c r="F254" s="4" t="str">
        <f t="shared" si="7"/>
        <v/>
      </c>
      <c r="G254" s="4" t="str">
        <f>IF(D254="","",D254*Parametri!$B$6)</f>
        <v/>
      </c>
      <c r="H254" s="4" t="str">
        <f t="shared" si="6"/>
        <v/>
      </c>
      <c r="I254" s="3" t="s">
        <v>147</v>
      </c>
      <c r="J254" s="3"/>
      <c r="K254" s="3"/>
    </row>
    <row r="255" spans="1:11">
      <c r="A255" s="8"/>
      <c r="B255" s="3"/>
      <c r="C255" s="3" t="s">
        <v>146</v>
      </c>
      <c r="D255" s="5"/>
      <c r="E255" s="13"/>
      <c r="F255" s="4" t="str">
        <f t="shared" si="7"/>
        <v/>
      </c>
      <c r="G255" s="4" t="str">
        <f>IF(D255="","",D255*Parametri!$B$6)</f>
        <v/>
      </c>
      <c r="H255" s="4" t="str">
        <f t="shared" si="6"/>
        <v/>
      </c>
      <c r="I255" s="3" t="s">
        <v>147</v>
      </c>
      <c r="J255" s="3"/>
      <c r="K255" s="3"/>
    </row>
    <row r="256" spans="1:11">
      <c r="A256" s="8"/>
      <c r="B256" s="3"/>
      <c r="C256" s="3" t="s">
        <v>146</v>
      </c>
      <c r="D256" s="5"/>
      <c r="E256" s="13"/>
      <c r="F256" s="4" t="str">
        <f t="shared" si="7"/>
        <v/>
      </c>
      <c r="G256" s="4" t="str">
        <f>IF(D256="","",D256*Parametri!$B$6)</f>
        <v/>
      </c>
      <c r="H256" s="4" t="str">
        <f t="shared" si="6"/>
        <v/>
      </c>
      <c r="I256" s="3" t="s">
        <v>147</v>
      </c>
      <c r="J256" s="3"/>
      <c r="K256" s="3"/>
    </row>
    <row r="257" spans="1:11">
      <c r="A257" s="8"/>
      <c r="B257" s="3"/>
      <c r="C257" s="3" t="s">
        <v>146</v>
      </c>
      <c r="D257" s="5"/>
      <c r="E257" s="13"/>
      <c r="F257" s="4" t="str">
        <f t="shared" si="7"/>
        <v/>
      </c>
      <c r="G257" s="4" t="str">
        <f>IF(D257="","",D257*Parametri!$B$6)</f>
        <v/>
      </c>
      <c r="H257" s="4" t="str">
        <f t="shared" si="6"/>
        <v/>
      </c>
      <c r="I257" s="3" t="s">
        <v>147</v>
      </c>
      <c r="J257" s="3"/>
      <c r="K257" s="3"/>
    </row>
    <row r="258" spans="1:11">
      <c r="A258" s="8"/>
      <c r="B258" s="3"/>
      <c r="C258" s="3" t="s">
        <v>146</v>
      </c>
      <c r="D258" s="5"/>
      <c r="E258" s="13"/>
      <c r="F258" s="4" t="str">
        <f t="shared" si="7"/>
        <v/>
      </c>
      <c r="G258" s="4" t="str">
        <f>IF(D258="","",D258*Parametri!$B$6)</f>
        <v/>
      </c>
      <c r="H258" s="4" t="str">
        <f t="shared" si="6"/>
        <v/>
      </c>
      <c r="I258" s="3" t="s">
        <v>147</v>
      </c>
      <c r="J258" s="3"/>
      <c r="K258" s="3"/>
    </row>
    <row r="259" spans="1:11">
      <c r="A259" s="8"/>
      <c r="B259" s="3"/>
      <c r="C259" s="3" t="s">
        <v>146</v>
      </c>
      <c r="D259" s="5"/>
      <c r="E259" s="13"/>
      <c r="F259" s="4" t="str">
        <f t="shared" si="7"/>
        <v/>
      </c>
      <c r="G259" s="4" t="str">
        <f>IF(D259="","",D259*Parametri!$B$6)</f>
        <v/>
      </c>
      <c r="H259" s="4" t="str">
        <f t="shared" si="6"/>
        <v/>
      </c>
      <c r="I259" s="3" t="s">
        <v>147</v>
      </c>
      <c r="J259" s="3"/>
      <c r="K259" s="3"/>
    </row>
    <row r="260" spans="1:11">
      <c r="A260" s="8"/>
      <c r="B260" s="3"/>
      <c r="C260" s="3" t="s">
        <v>146</v>
      </c>
      <c r="D260" s="5"/>
      <c r="E260" s="13"/>
      <c r="F260" s="4" t="str">
        <f t="shared" si="7"/>
        <v/>
      </c>
      <c r="G260" s="4" t="str">
        <f>IF(D260="","",D260*Parametri!$B$6)</f>
        <v/>
      </c>
      <c r="H260" s="4" t="str">
        <f t="shared" ref="H260:H303" si="8">IF(F260="","",F260-G260)</f>
        <v/>
      </c>
      <c r="I260" s="3" t="s">
        <v>147</v>
      </c>
      <c r="J260" s="3"/>
      <c r="K260" s="3"/>
    </row>
    <row r="261" spans="1:11">
      <c r="A261" s="8"/>
      <c r="B261" s="3"/>
      <c r="C261" s="3" t="s">
        <v>146</v>
      </c>
      <c r="D261" s="5"/>
      <c r="E261" s="13"/>
      <c r="F261" s="4" t="str">
        <f t="shared" si="7"/>
        <v/>
      </c>
      <c r="G261" s="4" t="str">
        <f>IF(D261="","",D261*Parametri!$B$6)</f>
        <v/>
      </c>
      <c r="H261" s="4" t="str">
        <f t="shared" si="8"/>
        <v/>
      </c>
      <c r="I261" s="3" t="s">
        <v>147</v>
      </c>
      <c r="J261" s="3"/>
      <c r="K261" s="3"/>
    </row>
    <row r="262" spans="1:11">
      <c r="A262" s="8"/>
      <c r="B262" s="3"/>
      <c r="C262" s="3" t="s">
        <v>146</v>
      </c>
      <c r="D262" s="5"/>
      <c r="E262" s="13"/>
      <c r="F262" s="4" t="str">
        <f t="shared" si="7"/>
        <v/>
      </c>
      <c r="G262" s="4" t="str">
        <f>IF(D262="","",D262*Parametri!$B$6)</f>
        <v/>
      </c>
      <c r="H262" s="4" t="str">
        <f t="shared" si="8"/>
        <v/>
      </c>
      <c r="I262" s="3" t="s">
        <v>147</v>
      </c>
      <c r="J262" s="3"/>
      <c r="K262" s="3"/>
    </row>
    <row r="263" spans="1:11">
      <c r="A263" s="8"/>
      <c r="B263" s="3"/>
      <c r="C263" s="3" t="s">
        <v>146</v>
      </c>
      <c r="D263" s="5"/>
      <c r="E263" s="13"/>
      <c r="F263" s="4" t="str">
        <f t="shared" si="7"/>
        <v/>
      </c>
      <c r="G263" s="4" t="str">
        <f>IF(D263="","",D263*Parametri!$B$6)</f>
        <v/>
      </c>
      <c r="H263" s="4" t="str">
        <f t="shared" si="8"/>
        <v/>
      </c>
      <c r="I263" s="3" t="s">
        <v>147</v>
      </c>
      <c r="J263" s="3"/>
      <c r="K263" s="3"/>
    </row>
    <row r="264" spans="1:11">
      <c r="A264" s="8"/>
      <c r="B264" s="3"/>
      <c r="C264" s="3" t="s">
        <v>146</v>
      </c>
      <c r="D264" s="5"/>
      <c r="E264" s="13"/>
      <c r="F264" s="4" t="str">
        <f t="shared" si="7"/>
        <v/>
      </c>
      <c r="G264" s="4" t="str">
        <f>IF(D264="","",D264*Parametri!$B$6)</f>
        <v/>
      </c>
      <c r="H264" s="4" t="str">
        <f t="shared" si="8"/>
        <v/>
      </c>
      <c r="I264" s="3" t="s">
        <v>147</v>
      </c>
      <c r="J264" s="3"/>
      <c r="K264" s="3"/>
    </row>
    <row r="265" spans="1:11">
      <c r="A265" s="8"/>
      <c r="B265" s="3"/>
      <c r="C265" s="3" t="s">
        <v>146</v>
      </c>
      <c r="D265" s="5"/>
      <c r="E265" s="13"/>
      <c r="F265" s="4" t="str">
        <f t="shared" si="7"/>
        <v/>
      </c>
      <c r="G265" s="4" t="str">
        <f>IF(D265="","",D265*Parametri!$B$6)</f>
        <v/>
      </c>
      <c r="H265" s="4" t="str">
        <f t="shared" si="8"/>
        <v/>
      </c>
      <c r="I265" s="3" t="s">
        <v>147</v>
      </c>
      <c r="J265" s="3"/>
      <c r="K265" s="3"/>
    </row>
    <row r="266" spans="1:11">
      <c r="A266" s="8"/>
      <c r="B266" s="3"/>
      <c r="C266" s="3" t="s">
        <v>146</v>
      </c>
      <c r="D266" s="5"/>
      <c r="E266" s="13"/>
      <c r="F266" s="4" t="str">
        <f t="shared" si="7"/>
        <v/>
      </c>
      <c r="G266" s="4" t="str">
        <f>IF(D266="","",D266*Parametri!$B$6)</f>
        <v/>
      </c>
      <c r="H266" s="4" t="str">
        <f t="shared" si="8"/>
        <v/>
      </c>
      <c r="I266" s="3" t="s">
        <v>147</v>
      </c>
      <c r="J266" s="3"/>
      <c r="K266" s="3"/>
    </row>
    <row r="267" spans="1:11">
      <c r="A267" s="8"/>
      <c r="B267" s="3"/>
      <c r="C267" s="3" t="s">
        <v>146</v>
      </c>
      <c r="D267" s="5"/>
      <c r="E267" s="13"/>
      <c r="F267" s="4" t="str">
        <f t="shared" ref="F267:F303" si="9">IF(OR(D267="",E267=""),"",D267*E267)</f>
        <v/>
      </c>
      <c r="G267" s="4" t="str">
        <f>IF(D267="","",D267*Parametri!$B$6)</f>
        <v/>
      </c>
      <c r="H267" s="4" t="str">
        <f t="shared" si="8"/>
        <v/>
      </c>
      <c r="I267" s="3" t="s">
        <v>147</v>
      </c>
      <c r="J267" s="3"/>
      <c r="K267" s="3"/>
    </row>
    <row r="268" spans="1:11">
      <c r="A268" s="8"/>
      <c r="B268" s="3"/>
      <c r="C268" s="3" t="s">
        <v>146</v>
      </c>
      <c r="D268" s="5"/>
      <c r="E268" s="13"/>
      <c r="F268" s="4" t="str">
        <f t="shared" si="9"/>
        <v/>
      </c>
      <c r="G268" s="4" t="str">
        <f>IF(D268="","",D268*Parametri!$B$6)</f>
        <v/>
      </c>
      <c r="H268" s="4" t="str">
        <f t="shared" si="8"/>
        <v/>
      </c>
      <c r="I268" s="3" t="s">
        <v>147</v>
      </c>
      <c r="J268" s="3"/>
      <c r="K268" s="3"/>
    </row>
    <row r="269" spans="1:11">
      <c r="A269" s="8"/>
      <c r="B269" s="3"/>
      <c r="C269" s="3" t="s">
        <v>146</v>
      </c>
      <c r="D269" s="5"/>
      <c r="E269" s="13"/>
      <c r="F269" s="4" t="str">
        <f t="shared" si="9"/>
        <v/>
      </c>
      <c r="G269" s="4" t="str">
        <f>IF(D269="","",D269*Parametri!$B$6)</f>
        <v/>
      </c>
      <c r="H269" s="4" t="str">
        <f t="shared" si="8"/>
        <v/>
      </c>
      <c r="I269" s="3" t="s">
        <v>147</v>
      </c>
      <c r="J269" s="3"/>
      <c r="K269" s="3"/>
    </row>
    <row r="270" spans="1:11">
      <c r="A270" s="8"/>
      <c r="B270" s="3"/>
      <c r="C270" s="3" t="s">
        <v>146</v>
      </c>
      <c r="D270" s="5"/>
      <c r="E270" s="13"/>
      <c r="F270" s="4" t="str">
        <f t="shared" si="9"/>
        <v/>
      </c>
      <c r="G270" s="4" t="str">
        <f>IF(D270="","",D270*Parametri!$B$6)</f>
        <v/>
      </c>
      <c r="H270" s="4" t="str">
        <f t="shared" si="8"/>
        <v/>
      </c>
      <c r="I270" s="3" t="s">
        <v>147</v>
      </c>
      <c r="J270" s="3"/>
      <c r="K270" s="3"/>
    </row>
    <row r="271" spans="1:11">
      <c r="A271" s="8"/>
      <c r="B271" s="3"/>
      <c r="C271" s="3" t="s">
        <v>146</v>
      </c>
      <c r="D271" s="5"/>
      <c r="E271" s="13"/>
      <c r="F271" s="4" t="str">
        <f t="shared" si="9"/>
        <v/>
      </c>
      <c r="G271" s="4" t="str">
        <f>IF(D271="","",D271*Parametri!$B$6)</f>
        <v/>
      </c>
      <c r="H271" s="4" t="str">
        <f t="shared" si="8"/>
        <v/>
      </c>
      <c r="I271" s="3" t="s">
        <v>147</v>
      </c>
      <c r="J271" s="3"/>
      <c r="K271" s="3"/>
    </row>
    <row r="272" spans="1:11">
      <c r="A272" s="8"/>
      <c r="B272" s="3"/>
      <c r="C272" s="3" t="s">
        <v>146</v>
      </c>
      <c r="D272" s="5"/>
      <c r="E272" s="13"/>
      <c r="F272" s="4" t="str">
        <f t="shared" si="9"/>
        <v/>
      </c>
      <c r="G272" s="4" t="str">
        <f>IF(D272="","",D272*Parametri!$B$6)</f>
        <v/>
      </c>
      <c r="H272" s="4" t="str">
        <f t="shared" si="8"/>
        <v/>
      </c>
      <c r="I272" s="3" t="s">
        <v>147</v>
      </c>
      <c r="J272" s="3"/>
      <c r="K272" s="3"/>
    </row>
    <row r="273" spans="1:11">
      <c r="A273" s="8"/>
      <c r="B273" s="3"/>
      <c r="C273" s="3" t="s">
        <v>146</v>
      </c>
      <c r="D273" s="5"/>
      <c r="E273" s="13"/>
      <c r="F273" s="4" t="str">
        <f t="shared" si="9"/>
        <v/>
      </c>
      <c r="G273" s="4" t="str">
        <f>IF(D273="","",D273*Parametri!$B$6)</f>
        <v/>
      </c>
      <c r="H273" s="4" t="str">
        <f t="shared" si="8"/>
        <v/>
      </c>
      <c r="I273" s="3" t="s">
        <v>147</v>
      </c>
      <c r="J273" s="3"/>
      <c r="K273" s="3"/>
    </row>
    <row r="274" spans="1:11">
      <c r="A274" s="8"/>
      <c r="B274" s="3"/>
      <c r="C274" s="3" t="s">
        <v>146</v>
      </c>
      <c r="D274" s="5"/>
      <c r="E274" s="13"/>
      <c r="F274" s="4" t="str">
        <f t="shared" si="9"/>
        <v/>
      </c>
      <c r="G274" s="4" t="str">
        <f>IF(D274="","",D274*Parametri!$B$6)</f>
        <v/>
      </c>
      <c r="H274" s="4" t="str">
        <f t="shared" si="8"/>
        <v/>
      </c>
      <c r="I274" s="3" t="s">
        <v>147</v>
      </c>
      <c r="J274" s="3"/>
      <c r="K274" s="3"/>
    </row>
    <row r="275" spans="1:11">
      <c r="A275" s="8"/>
      <c r="B275" s="3"/>
      <c r="C275" s="3" t="s">
        <v>146</v>
      </c>
      <c r="D275" s="5"/>
      <c r="E275" s="13"/>
      <c r="F275" s="4" t="str">
        <f t="shared" si="9"/>
        <v/>
      </c>
      <c r="G275" s="4" t="str">
        <f>IF(D275="","",D275*Parametri!$B$6)</f>
        <v/>
      </c>
      <c r="H275" s="4" t="str">
        <f t="shared" si="8"/>
        <v/>
      </c>
      <c r="I275" s="3" t="s">
        <v>147</v>
      </c>
      <c r="J275" s="3"/>
      <c r="K275" s="3"/>
    </row>
    <row r="276" spans="1:11">
      <c r="A276" s="8"/>
      <c r="B276" s="3"/>
      <c r="C276" s="3" t="s">
        <v>146</v>
      </c>
      <c r="D276" s="5"/>
      <c r="E276" s="13"/>
      <c r="F276" s="4" t="str">
        <f t="shared" si="9"/>
        <v/>
      </c>
      <c r="G276" s="4" t="str">
        <f>IF(D276="","",D276*Parametri!$B$6)</f>
        <v/>
      </c>
      <c r="H276" s="4" t="str">
        <f t="shared" si="8"/>
        <v/>
      </c>
      <c r="I276" s="3" t="s">
        <v>147</v>
      </c>
      <c r="J276" s="3"/>
      <c r="K276" s="3"/>
    </row>
    <row r="277" spans="1:11">
      <c r="A277" s="8"/>
      <c r="B277" s="3"/>
      <c r="C277" s="3" t="s">
        <v>146</v>
      </c>
      <c r="D277" s="5"/>
      <c r="E277" s="13"/>
      <c r="F277" s="4" t="str">
        <f t="shared" si="9"/>
        <v/>
      </c>
      <c r="G277" s="4" t="str">
        <f>IF(D277="","",D277*Parametri!$B$6)</f>
        <v/>
      </c>
      <c r="H277" s="4" t="str">
        <f t="shared" si="8"/>
        <v/>
      </c>
      <c r="I277" s="3" t="s">
        <v>147</v>
      </c>
      <c r="J277" s="3"/>
      <c r="K277" s="3"/>
    </row>
    <row r="278" spans="1:11">
      <c r="A278" s="8"/>
      <c r="B278" s="3"/>
      <c r="C278" s="3" t="s">
        <v>146</v>
      </c>
      <c r="D278" s="5"/>
      <c r="E278" s="13"/>
      <c r="F278" s="4" t="str">
        <f t="shared" si="9"/>
        <v/>
      </c>
      <c r="G278" s="4" t="str">
        <f>IF(D278="","",D278*Parametri!$B$6)</f>
        <v/>
      </c>
      <c r="H278" s="4" t="str">
        <f t="shared" si="8"/>
        <v/>
      </c>
      <c r="I278" s="3" t="s">
        <v>147</v>
      </c>
      <c r="J278" s="3"/>
      <c r="K278" s="3"/>
    </row>
    <row r="279" spans="1:11">
      <c r="A279" s="8"/>
      <c r="B279" s="3"/>
      <c r="C279" s="3" t="s">
        <v>146</v>
      </c>
      <c r="D279" s="5"/>
      <c r="E279" s="13"/>
      <c r="F279" s="4" t="str">
        <f t="shared" si="9"/>
        <v/>
      </c>
      <c r="G279" s="4" t="str">
        <f>IF(D279="","",D279*Parametri!$B$6)</f>
        <v/>
      </c>
      <c r="H279" s="4" t="str">
        <f t="shared" si="8"/>
        <v/>
      </c>
      <c r="I279" s="3" t="s">
        <v>147</v>
      </c>
      <c r="J279" s="3"/>
      <c r="K279" s="3"/>
    </row>
    <row r="280" spans="1:11">
      <c r="A280" s="8"/>
      <c r="B280" s="3"/>
      <c r="C280" s="3" t="s">
        <v>146</v>
      </c>
      <c r="D280" s="5"/>
      <c r="E280" s="13"/>
      <c r="F280" s="4" t="str">
        <f t="shared" si="9"/>
        <v/>
      </c>
      <c r="G280" s="4" t="str">
        <f>IF(D280="","",D280*Parametri!$B$6)</f>
        <v/>
      </c>
      <c r="H280" s="4" t="str">
        <f t="shared" si="8"/>
        <v/>
      </c>
      <c r="I280" s="3" t="s">
        <v>147</v>
      </c>
      <c r="J280" s="3"/>
      <c r="K280" s="3"/>
    </row>
    <row r="281" spans="1:11">
      <c r="A281" s="8"/>
      <c r="B281" s="3"/>
      <c r="C281" s="3" t="s">
        <v>146</v>
      </c>
      <c r="D281" s="5"/>
      <c r="E281" s="13"/>
      <c r="F281" s="4" t="str">
        <f t="shared" si="9"/>
        <v/>
      </c>
      <c r="G281" s="4" t="str">
        <f>IF(D281="","",D281*Parametri!$B$6)</f>
        <v/>
      </c>
      <c r="H281" s="4" t="str">
        <f t="shared" si="8"/>
        <v/>
      </c>
      <c r="I281" s="3" t="s">
        <v>147</v>
      </c>
      <c r="J281" s="3"/>
      <c r="K281" s="3"/>
    </row>
    <row r="282" spans="1:11">
      <c r="A282" s="8"/>
      <c r="B282" s="3"/>
      <c r="C282" s="3" t="s">
        <v>146</v>
      </c>
      <c r="D282" s="5"/>
      <c r="E282" s="13"/>
      <c r="F282" s="4" t="str">
        <f t="shared" si="9"/>
        <v/>
      </c>
      <c r="G282" s="4" t="str">
        <f>IF(D282="","",D282*Parametri!$B$6)</f>
        <v/>
      </c>
      <c r="H282" s="4" t="str">
        <f t="shared" si="8"/>
        <v/>
      </c>
      <c r="I282" s="3" t="s">
        <v>147</v>
      </c>
      <c r="J282" s="3"/>
      <c r="K282" s="3"/>
    </row>
    <row r="283" spans="1:11">
      <c r="A283" s="8"/>
      <c r="B283" s="3"/>
      <c r="C283" s="3" t="s">
        <v>146</v>
      </c>
      <c r="D283" s="5"/>
      <c r="E283" s="13"/>
      <c r="F283" s="4" t="str">
        <f t="shared" si="9"/>
        <v/>
      </c>
      <c r="G283" s="4" t="str">
        <f>IF(D283="","",D283*Parametri!$B$6)</f>
        <v/>
      </c>
      <c r="H283" s="4" t="str">
        <f t="shared" si="8"/>
        <v/>
      </c>
      <c r="I283" s="3" t="s">
        <v>147</v>
      </c>
      <c r="J283" s="3"/>
      <c r="K283" s="3"/>
    </row>
    <row r="284" spans="1:11">
      <c r="A284" s="8"/>
      <c r="B284" s="3"/>
      <c r="C284" s="3" t="s">
        <v>146</v>
      </c>
      <c r="D284" s="5"/>
      <c r="E284" s="13"/>
      <c r="F284" s="4" t="str">
        <f t="shared" si="9"/>
        <v/>
      </c>
      <c r="G284" s="4" t="str">
        <f>IF(D284="","",D284*Parametri!$B$6)</f>
        <v/>
      </c>
      <c r="H284" s="4" t="str">
        <f t="shared" si="8"/>
        <v/>
      </c>
      <c r="I284" s="3" t="s">
        <v>147</v>
      </c>
      <c r="J284" s="3"/>
      <c r="K284" s="3"/>
    </row>
    <row r="285" spans="1:11">
      <c r="A285" s="8"/>
      <c r="B285" s="3"/>
      <c r="C285" s="3" t="s">
        <v>146</v>
      </c>
      <c r="D285" s="5"/>
      <c r="E285" s="13"/>
      <c r="F285" s="4" t="str">
        <f t="shared" si="9"/>
        <v/>
      </c>
      <c r="G285" s="4" t="str">
        <f>IF(D285="","",D285*Parametri!$B$6)</f>
        <v/>
      </c>
      <c r="H285" s="4" t="str">
        <f t="shared" si="8"/>
        <v/>
      </c>
      <c r="I285" s="3" t="s">
        <v>147</v>
      </c>
      <c r="J285" s="3"/>
      <c r="K285" s="3"/>
    </row>
    <row r="286" spans="1:11">
      <c r="A286" s="8"/>
      <c r="B286" s="3"/>
      <c r="C286" s="3" t="s">
        <v>146</v>
      </c>
      <c r="D286" s="5"/>
      <c r="E286" s="13"/>
      <c r="F286" s="4" t="str">
        <f t="shared" si="9"/>
        <v/>
      </c>
      <c r="G286" s="4" t="str">
        <f>IF(D286="","",D286*Parametri!$B$6)</f>
        <v/>
      </c>
      <c r="H286" s="4" t="str">
        <f t="shared" si="8"/>
        <v/>
      </c>
      <c r="I286" s="3" t="s">
        <v>147</v>
      </c>
      <c r="J286" s="3"/>
      <c r="K286" s="3"/>
    </row>
    <row r="287" spans="1:11">
      <c r="A287" s="8"/>
      <c r="B287" s="3"/>
      <c r="C287" s="3" t="s">
        <v>146</v>
      </c>
      <c r="D287" s="5"/>
      <c r="E287" s="13"/>
      <c r="F287" s="4" t="str">
        <f t="shared" si="9"/>
        <v/>
      </c>
      <c r="G287" s="4" t="str">
        <f>IF(D287="","",D287*Parametri!$B$6)</f>
        <v/>
      </c>
      <c r="H287" s="4" t="str">
        <f t="shared" si="8"/>
        <v/>
      </c>
      <c r="I287" s="3" t="s">
        <v>147</v>
      </c>
      <c r="J287" s="3"/>
      <c r="K287" s="3"/>
    </row>
    <row r="288" spans="1:11">
      <c r="A288" s="8"/>
      <c r="B288" s="3"/>
      <c r="C288" s="3" t="s">
        <v>146</v>
      </c>
      <c r="D288" s="5"/>
      <c r="E288" s="13"/>
      <c r="F288" s="4" t="str">
        <f t="shared" si="9"/>
        <v/>
      </c>
      <c r="G288" s="4" t="str">
        <f>IF(D288="","",D288*Parametri!$B$6)</f>
        <v/>
      </c>
      <c r="H288" s="4" t="str">
        <f t="shared" si="8"/>
        <v/>
      </c>
      <c r="I288" s="3" t="s">
        <v>147</v>
      </c>
      <c r="J288" s="3"/>
      <c r="K288" s="3"/>
    </row>
    <row r="289" spans="1:11">
      <c r="A289" s="8"/>
      <c r="B289" s="3"/>
      <c r="C289" s="3" t="s">
        <v>146</v>
      </c>
      <c r="D289" s="5"/>
      <c r="E289" s="13"/>
      <c r="F289" s="4" t="str">
        <f t="shared" si="9"/>
        <v/>
      </c>
      <c r="G289" s="4" t="str">
        <f>IF(D289="","",D289*Parametri!$B$6)</f>
        <v/>
      </c>
      <c r="H289" s="4" t="str">
        <f t="shared" si="8"/>
        <v/>
      </c>
      <c r="I289" s="3" t="s">
        <v>147</v>
      </c>
      <c r="J289" s="3"/>
      <c r="K289" s="3"/>
    </row>
    <row r="290" spans="1:11">
      <c r="A290" s="8"/>
      <c r="B290" s="3"/>
      <c r="C290" s="3" t="s">
        <v>146</v>
      </c>
      <c r="D290" s="5"/>
      <c r="E290" s="13"/>
      <c r="F290" s="4" t="str">
        <f t="shared" si="9"/>
        <v/>
      </c>
      <c r="G290" s="4" t="str">
        <f>IF(D290="","",D290*Parametri!$B$6)</f>
        <v/>
      </c>
      <c r="H290" s="4" t="str">
        <f t="shared" si="8"/>
        <v/>
      </c>
      <c r="I290" s="3" t="s">
        <v>147</v>
      </c>
      <c r="J290" s="3"/>
      <c r="K290" s="3"/>
    </row>
    <row r="291" spans="1:11">
      <c r="A291" s="8"/>
      <c r="B291" s="3"/>
      <c r="C291" s="3" t="s">
        <v>146</v>
      </c>
      <c r="D291" s="5"/>
      <c r="E291" s="13"/>
      <c r="F291" s="4" t="str">
        <f t="shared" si="9"/>
        <v/>
      </c>
      <c r="G291" s="4" t="str">
        <f>IF(D291="","",D291*Parametri!$B$6)</f>
        <v/>
      </c>
      <c r="H291" s="4" t="str">
        <f t="shared" si="8"/>
        <v/>
      </c>
      <c r="I291" s="3" t="s">
        <v>147</v>
      </c>
      <c r="J291" s="3"/>
      <c r="K291" s="3"/>
    </row>
    <row r="292" spans="1:11">
      <c r="A292" s="8"/>
      <c r="B292" s="3"/>
      <c r="C292" s="3" t="s">
        <v>146</v>
      </c>
      <c r="D292" s="5"/>
      <c r="E292" s="13"/>
      <c r="F292" s="4" t="str">
        <f t="shared" si="9"/>
        <v/>
      </c>
      <c r="G292" s="4" t="str">
        <f>IF(D292="","",D292*Parametri!$B$6)</f>
        <v/>
      </c>
      <c r="H292" s="4" t="str">
        <f t="shared" si="8"/>
        <v/>
      </c>
      <c r="I292" s="3" t="s">
        <v>147</v>
      </c>
      <c r="J292" s="3"/>
      <c r="K292" s="3"/>
    </row>
    <row r="293" spans="1:11">
      <c r="A293" s="8"/>
      <c r="B293" s="3"/>
      <c r="C293" s="3" t="s">
        <v>146</v>
      </c>
      <c r="D293" s="5"/>
      <c r="E293" s="13"/>
      <c r="F293" s="4" t="str">
        <f t="shared" si="9"/>
        <v/>
      </c>
      <c r="G293" s="4" t="str">
        <f>IF(D293="","",D293*Parametri!$B$6)</f>
        <v/>
      </c>
      <c r="H293" s="4" t="str">
        <f t="shared" si="8"/>
        <v/>
      </c>
      <c r="I293" s="3" t="s">
        <v>147</v>
      </c>
      <c r="J293" s="3"/>
      <c r="K293" s="3"/>
    </row>
    <row r="294" spans="1:11">
      <c r="A294" s="8"/>
      <c r="B294" s="3"/>
      <c r="C294" s="3" t="s">
        <v>146</v>
      </c>
      <c r="D294" s="5"/>
      <c r="E294" s="13"/>
      <c r="F294" s="4" t="str">
        <f t="shared" si="9"/>
        <v/>
      </c>
      <c r="G294" s="4" t="str">
        <f>IF(D294="","",D294*Parametri!$B$6)</f>
        <v/>
      </c>
      <c r="H294" s="4" t="str">
        <f t="shared" si="8"/>
        <v/>
      </c>
      <c r="I294" s="3" t="s">
        <v>147</v>
      </c>
      <c r="J294" s="3"/>
      <c r="K294" s="3"/>
    </row>
    <row r="295" spans="1:11">
      <c r="A295" s="8"/>
      <c r="B295" s="3"/>
      <c r="C295" s="3" t="s">
        <v>146</v>
      </c>
      <c r="D295" s="5"/>
      <c r="E295" s="13"/>
      <c r="F295" s="4" t="str">
        <f t="shared" si="9"/>
        <v/>
      </c>
      <c r="G295" s="4" t="str">
        <f>IF(D295="","",D295*Parametri!$B$6)</f>
        <v/>
      </c>
      <c r="H295" s="4" t="str">
        <f t="shared" si="8"/>
        <v/>
      </c>
      <c r="I295" s="3" t="s">
        <v>147</v>
      </c>
      <c r="J295" s="3"/>
      <c r="K295" s="3"/>
    </row>
    <row r="296" spans="1:11">
      <c r="A296" s="8"/>
      <c r="B296" s="3"/>
      <c r="C296" s="3" t="s">
        <v>146</v>
      </c>
      <c r="D296" s="5"/>
      <c r="E296" s="13"/>
      <c r="F296" s="4" t="str">
        <f t="shared" si="9"/>
        <v/>
      </c>
      <c r="G296" s="4" t="str">
        <f>IF(D296="","",D296*Parametri!$B$6)</f>
        <v/>
      </c>
      <c r="H296" s="4" t="str">
        <f t="shared" si="8"/>
        <v/>
      </c>
      <c r="I296" s="3" t="s">
        <v>147</v>
      </c>
      <c r="J296" s="3"/>
      <c r="K296" s="3"/>
    </row>
    <row r="297" spans="1:11">
      <c r="A297" s="8"/>
      <c r="B297" s="3"/>
      <c r="C297" s="3" t="s">
        <v>146</v>
      </c>
      <c r="D297" s="5"/>
      <c r="E297" s="13"/>
      <c r="F297" s="4" t="str">
        <f t="shared" si="9"/>
        <v/>
      </c>
      <c r="G297" s="4" t="str">
        <f>IF(D297="","",D297*Parametri!$B$6)</f>
        <v/>
      </c>
      <c r="H297" s="4" t="str">
        <f t="shared" si="8"/>
        <v/>
      </c>
      <c r="I297" s="3" t="s">
        <v>147</v>
      </c>
      <c r="J297" s="3"/>
      <c r="K297" s="3"/>
    </row>
    <row r="298" spans="1:11">
      <c r="A298" s="8"/>
      <c r="B298" s="3"/>
      <c r="C298" s="3" t="s">
        <v>146</v>
      </c>
      <c r="D298" s="5"/>
      <c r="E298" s="13"/>
      <c r="F298" s="4" t="str">
        <f t="shared" si="9"/>
        <v/>
      </c>
      <c r="G298" s="4" t="str">
        <f>IF(D298="","",D298*Parametri!$B$6)</f>
        <v/>
      </c>
      <c r="H298" s="4" t="str">
        <f t="shared" si="8"/>
        <v/>
      </c>
      <c r="I298" s="3" t="s">
        <v>147</v>
      </c>
      <c r="J298" s="3"/>
      <c r="K298" s="3"/>
    </row>
    <row r="299" spans="1:11">
      <c r="A299" s="8"/>
      <c r="B299" s="3"/>
      <c r="C299" s="3" t="s">
        <v>146</v>
      </c>
      <c r="D299" s="5"/>
      <c r="E299" s="13"/>
      <c r="F299" s="4" t="str">
        <f t="shared" si="9"/>
        <v/>
      </c>
      <c r="G299" s="4" t="str">
        <f>IF(D299="","",D299*Parametri!$B$6)</f>
        <v/>
      </c>
      <c r="H299" s="4" t="str">
        <f t="shared" si="8"/>
        <v/>
      </c>
      <c r="I299" s="3" t="s">
        <v>147</v>
      </c>
      <c r="J299" s="3"/>
      <c r="K299" s="3"/>
    </row>
    <row r="300" spans="1:11">
      <c r="A300" s="8"/>
      <c r="B300" s="3"/>
      <c r="C300" s="3" t="s">
        <v>146</v>
      </c>
      <c r="D300" s="5"/>
      <c r="E300" s="13"/>
      <c r="F300" s="4" t="str">
        <f t="shared" si="9"/>
        <v/>
      </c>
      <c r="G300" s="4" t="str">
        <f>IF(D300="","",D300*Parametri!$B$6)</f>
        <v/>
      </c>
      <c r="H300" s="4" t="str">
        <f t="shared" si="8"/>
        <v/>
      </c>
      <c r="I300" s="3" t="s">
        <v>147</v>
      </c>
      <c r="J300" s="3"/>
      <c r="K300" s="3"/>
    </row>
    <row r="301" spans="1:11">
      <c r="A301" s="8"/>
      <c r="B301" s="3"/>
      <c r="C301" s="3" t="s">
        <v>146</v>
      </c>
      <c r="D301" s="5"/>
      <c r="E301" s="13"/>
      <c r="F301" s="4" t="str">
        <f t="shared" si="9"/>
        <v/>
      </c>
      <c r="G301" s="4" t="str">
        <f>IF(D301="","",D301*Parametri!$B$6)</f>
        <v/>
      </c>
      <c r="H301" s="4" t="str">
        <f t="shared" si="8"/>
        <v/>
      </c>
      <c r="I301" s="3" t="s">
        <v>147</v>
      </c>
      <c r="J301" s="3"/>
      <c r="K301" s="3"/>
    </row>
    <row r="302" spans="1:11">
      <c r="A302" s="8"/>
      <c r="B302" s="3"/>
      <c r="C302" s="3" t="s">
        <v>146</v>
      </c>
      <c r="D302" s="5"/>
      <c r="E302" s="13"/>
      <c r="F302" s="4" t="str">
        <f t="shared" si="9"/>
        <v/>
      </c>
      <c r="G302" s="4" t="str">
        <f>IF(D302="","",D302*Parametri!$B$6)</f>
        <v/>
      </c>
      <c r="H302" s="4" t="str">
        <f t="shared" si="8"/>
        <v/>
      </c>
      <c r="I302" s="3" t="s">
        <v>147</v>
      </c>
      <c r="J302" s="3"/>
      <c r="K302" s="3"/>
    </row>
    <row r="303" spans="1:11">
      <c r="A303" s="8"/>
      <c r="B303" s="3"/>
      <c r="C303" s="3" t="s">
        <v>146</v>
      </c>
      <c r="D303" s="5"/>
      <c r="E303" s="13"/>
      <c r="F303" s="4" t="str">
        <f t="shared" si="9"/>
        <v/>
      </c>
      <c r="G303" s="4" t="str">
        <f>IF(D303="","",D303*Parametri!$B$6)</f>
        <v/>
      </c>
      <c r="H303" s="4" t="str">
        <f t="shared" si="8"/>
        <v/>
      </c>
      <c r="I303" s="3" t="s">
        <v>147</v>
      </c>
      <c r="J303" s="3"/>
      <c r="K303" s="3"/>
    </row>
  </sheetData>
  <mergeCells count="1">
    <mergeCell ref="A1:K1"/>
  </mergeCells>
  <conditionalFormatting sqref="I4:I303">
    <cfRule type="expression" dxfId="14" priority="1">
      <formula>I4="Sì"</formula>
    </cfRule>
    <cfRule type="expression" dxfId="13" priority="2">
      <formula>I4="No"</formula>
    </cfRule>
  </conditionalFormatting>
  <pageMargins left="0.7" right="0.7" top="0.75" bottom="0.75" header="0.3" footer="0.3"/>
  <pageSetup paperSize="9" orientation="portrait" horizontalDpi="0" verticalDpi="0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500-000000000000}">
          <x14:formula1>
            <xm:f>Venditori_Affidatari!$B$4:$B$103</xm:f>
          </x14:formula1>
          <xm:sqref>L4:L303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03"/>
  <sheetViews>
    <sheetView workbookViewId="0">
      <selection sqref="A1:H1"/>
    </sheetView>
  </sheetViews>
  <sheetFormatPr baseColWidth="10" defaultColWidth="8.83203125" defaultRowHeight="15"/>
  <cols>
    <col min="1" max="1" width="14" style="1" customWidth="1"/>
    <col min="2" max="2" width="24" style="1" customWidth="1"/>
    <col min="3" max="3" width="42" style="1" customWidth="1"/>
    <col min="4" max="4" width="14" style="1" customWidth="1"/>
    <col min="5" max="5" width="20" style="1" customWidth="1"/>
    <col min="6" max="6" width="16" style="1" customWidth="1"/>
    <col min="7" max="7" width="14" style="1" customWidth="1"/>
    <col min="8" max="8" width="36" style="1" customWidth="1"/>
    <col min="9" max="16384" width="8.83203125" style="1"/>
  </cols>
  <sheetData>
    <row r="1" spans="1:8" ht="49.75" customHeight="1">
      <c r="A1" s="30" t="s">
        <v>164</v>
      </c>
      <c r="B1" s="31"/>
      <c r="C1" s="31"/>
      <c r="D1" s="31"/>
      <c r="E1" s="31"/>
      <c r="F1" s="31"/>
      <c r="G1" s="31"/>
      <c r="H1" s="31"/>
    </row>
    <row r="3" spans="1:8" ht="42.75" customHeight="1">
      <c r="A3" s="2" t="s">
        <v>125</v>
      </c>
      <c r="B3" s="2" t="s">
        <v>165</v>
      </c>
      <c r="C3" s="2" t="s">
        <v>140</v>
      </c>
      <c r="D3" s="2" t="s">
        <v>13</v>
      </c>
      <c r="E3" s="2" t="s">
        <v>131</v>
      </c>
      <c r="F3" s="2" t="s">
        <v>98</v>
      </c>
      <c r="G3" s="2" t="s">
        <v>166</v>
      </c>
      <c r="H3" s="2" t="s">
        <v>15</v>
      </c>
    </row>
    <row r="4" spans="1:8">
      <c r="A4" s="8" t="s">
        <v>101</v>
      </c>
      <c r="B4" s="3" t="s">
        <v>167</v>
      </c>
      <c r="C4" s="3" t="s">
        <v>168</v>
      </c>
      <c r="D4" s="4">
        <v>80</v>
      </c>
      <c r="E4" s="3" t="s">
        <v>100</v>
      </c>
      <c r="F4" s="3" t="s">
        <v>169</v>
      </c>
      <c r="G4" s="3" t="s">
        <v>147</v>
      </c>
      <c r="H4" s="3"/>
    </row>
    <row r="5" spans="1:8">
      <c r="A5" s="8"/>
      <c r="B5" s="3"/>
      <c r="C5" s="3"/>
      <c r="D5" s="4"/>
      <c r="E5" s="3"/>
      <c r="F5" s="3"/>
      <c r="G5" s="3" t="s">
        <v>147</v>
      </c>
      <c r="H5" s="3"/>
    </row>
    <row r="6" spans="1:8">
      <c r="A6" s="8"/>
      <c r="B6" s="3"/>
      <c r="C6" s="3"/>
      <c r="D6" s="4"/>
      <c r="E6" s="3"/>
      <c r="F6" s="3"/>
      <c r="G6" s="3" t="s">
        <v>147</v>
      </c>
      <c r="H6" s="3"/>
    </row>
    <row r="7" spans="1:8">
      <c r="A7" s="8"/>
      <c r="B7" s="3"/>
      <c r="C7" s="3"/>
      <c r="D7" s="4"/>
      <c r="E7" s="3"/>
      <c r="F7" s="3"/>
      <c r="G7" s="3" t="s">
        <v>147</v>
      </c>
      <c r="H7" s="3"/>
    </row>
    <row r="8" spans="1:8">
      <c r="A8" s="8"/>
      <c r="B8" s="3"/>
      <c r="C8" s="3"/>
      <c r="D8" s="4"/>
      <c r="E8" s="3"/>
      <c r="F8" s="3"/>
      <c r="G8" s="3" t="s">
        <v>147</v>
      </c>
      <c r="H8" s="3"/>
    </row>
    <row r="9" spans="1:8">
      <c r="A9" s="8"/>
      <c r="B9" s="3"/>
      <c r="C9" s="3"/>
      <c r="D9" s="4"/>
      <c r="E9" s="3"/>
      <c r="F9" s="3"/>
      <c r="G9" s="3" t="s">
        <v>147</v>
      </c>
      <c r="H9" s="3"/>
    </row>
    <row r="10" spans="1:8">
      <c r="A10" s="8"/>
      <c r="B10" s="3"/>
      <c r="C10" s="3"/>
      <c r="D10" s="4"/>
      <c r="E10" s="3"/>
      <c r="F10" s="3"/>
      <c r="G10" s="3" t="s">
        <v>147</v>
      </c>
      <c r="H10" s="3"/>
    </row>
    <row r="11" spans="1:8">
      <c r="A11" s="8"/>
      <c r="B11" s="3"/>
      <c r="C11" s="3"/>
      <c r="D11" s="4"/>
      <c r="E11" s="3"/>
      <c r="F11" s="3"/>
      <c r="G11" s="3" t="s">
        <v>147</v>
      </c>
      <c r="H11" s="3"/>
    </row>
    <row r="12" spans="1:8">
      <c r="A12" s="8"/>
      <c r="B12" s="3"/>
      <c r="C12" s="3"/>
      <c r="D12" s="4"/>
      <c r="E12" s="3"/>
      <c r="F12" s="3"/>
      <c r="G12" s="3" t="s">
        <v>147</v>
      </c>
      <c r="H12" s="3"/>
    </row>
    <row r="13" spans="1:8">
      <c r="A13" s="8"/>
      <c r="B13" s="3"/>
      <c r="C13" s="3"/>
      <c r="D13" s="4"/>
      <c r="E13" s="3"/>
      <c r="F13" s="3"/>
      <c r="G13" s="3" t="s">
        <v>147</v>
      </c>
      <c r="H13" s="3"/>
    </row>
    <row r="14" spans="1:8">
      <c r="A14" s="8"/>
      <c r="B14" s="3"/>
      <c r="C14" s="3"/>
      <c r="D14" s="4"/>
      <c r="E14" s="3"/>
      <c r="F14" s="3"/>
      <c r="G14" s="3" t="s">
        <v>147</v>
      </c>
      <c r="H14" s="3"/>
    </row>
    <row r="15" spans="1:8">
      <c r="A15" s="8"/>
      <c r="B15" s="3"/>
      <c r="C15" s="3"/>
      <c r="D15" s="4"/>
      <c r="E15" s="3"/>
      <c r="F15" s="3"/>
      <c r="G15" s="3" t="s">
        <v>147</v>
      </c>
      <c r="H15" s="3"/>
    </row>
    <row r="16" spans="1:8">
      <c r="A16" s="8"/>
      <c r="B16" s="3"/>
      <c r="C16" s="3"/>
      <c r="D16" s="4"/>
      <c r="E16" s="3"/>
      <c r="F16" s="3"/>
      <c r="G16" s="3" t="s">
        <v>147</v>
      </c>
      <c r="H16" s="3"/>
    </row>
    <row r="17" spans="1:8">
      <c r="A17" s="8"/>
      <c r="B17" s="3"/>
      <c r="C17" s="3"/>
      <c r="D17" s="4"/>
      <c r="E17" s="3"/>
      <c r="F17" s="3"/>
      <c r="G17" s="3" t="s">
        <v>147</v>
      </c>
      <c r="H17" s="3"/>
    </row>
    <row r="18" spans="1:8">
      <c r="A18" s="8"/>
      <c r="B18" s="3"/>
      <c r="C18" s="3"/>
      <c r="D18" s="4"/>
      <c r="E18" s="3"/>
      <c r="F18" s="3"/>
      <c r="G18" s="3" t="s">
        <v>147</v>
      </c>
      <c r="H18" s="3"/>
    </row>
    <row r="19" spans="1:8">
      <c r="A19" s="8"/>
      <c r="B19" s="3"/>
      <c r="C19" s="3"/>
      <c r="D19" s="4"/>
      <c r="E19" s="3"/>
      <c r="F19" s="3"/>
      <c r="G19" s="3" t="s">
        <v>147</v>
      </c>
      <c r="H19" s="3"/>
    </row>
    <row r="20" spans="1:8">
      <c r="A20" s="8"/>
      <c r="B20" s="3"/>
      <c r="C20" s="3"/>
      <c r="D20" s="4"/>
      <c r="E20" s="3"/>
      <c r="F20" s="3"/>
      <c r="G20" s="3" t="s">
        <v>147</v>
      </c>
      <c r="H20" s="3"/>
    </row>
    <row r="21" spans="1:8">
      <c r="A21" s="8"/>
      <c r="B21" s="3"/>
      <c r="C21" s="3"/>
      <c r="D21" s="4"/>
      <c r="E21" s="3"/>
      <c r="F21" s="3"/>
      <c r="G21" s="3" t="s">
        <v>147</v>
      </c>
      <c r="H21" s="3"/>
    </row>
    <row r="22" spans="1:8">
      <c r="A22" s="8"/>
      <c r="B22" s="3"/>
      <c r="C22" s="3"/>
      <c r="D22" s="4"/>
      <c r="E22" s="3"/>
      <c r="F22" s="3"/>
      <c r="G22" s="3" t="s">
        <v>147</v>
      </c>
      <c r="H22" s="3"/>
    </row>
    <row r="23" spans="1:8">
      <c r="A23" s="8"/>
      <c r="B23" s="3"/>
      <c r="C23" s="3"/>
      <c r="D23" s="4"/>
      <c r="E23" s="3"/>
      <c r="F23" s="3"/>
      <c r="G23" s="3" t="s">
        <v>147</v>
      </c>
      <c r="H23" s="3"/>
    </row>
    <row r="24" spans="1:8">
      <c r="A24" s="8"/>
      <c r="B24" s="3"/>
      <c r="C24" s="3"/>
      <c r="D24" s="4"/>
      <c r="E24" s="3"/>
      <c r="F24" s="3"/>
      <c r="G24" s="3" t="s">
        <v>147</v>
      </c>
      <c r="H24" s="3"/>
    </row>
    <row r="25" spans="1:8">
      <c r="A25" s="8"/>
      <c r="B25" s="3"/>
      <c r="C25" s="3"/>
      <c r="D25" s="4"/>
      <c r="E25" s="3"/>
      <c r="F25" s="3"/>
      <c r="G25" s="3" t="s">
        <v>147</v>
      </c>
      <c r="H25" s="3"/>
    </row>
    <row r="26" spans="1:8">
      <c r="A26" s="8"/>
      <c r="B26" s="3"/>
      <c r="C26" s="3"/>
      <c r="D26" s="4"/>
      <c r="E26" s="3"/>
      <c r="F26" s="3"/>
      <c r="G26" s="3" t="s">
        <v>147</v>
      </c>
      <c r="H26" s="3"/>
    </row>
    <row r="27" spans="1:8">
      <c r="A27" s="8"/>
      <c r="B27" s="3"/>
      <c r="C27" s="3"/>
      <c r="D27" s="4"/>
      <c r="E27" s="3"/>
      <c r="F27" s="3"/>
      <c r="G27" s="3" t="s">
        <v>147</v>
      </c>
      <c r="H27" s="3"/>
    </row>
    <row r="28" spans="1:8">
      <c r="A28" s="8"/>
      <c r="B28" s="3"/>
      <c r="C28" s="3"/>
      <c r="D28" s="4"/>
      <c r="E28" s="3"/>
      <c r="F28" s="3"/>
      <c r="G28" s="3" t="s">
        <v>147</v>
      </c>
      <c r="H28" s="3"/>
    </row>
    <row r="29" spans="1:8">
      <c r="A29" s="8"/>
      <c r="B29" s="3"/>
      <c r="C29" s="3"/>
      <c r="D29" s="4"/>
      <c r="E29" s="3"/>
      <c r="F29" s="3"/>
      <c r="G29" s="3" t="s">
        <v>147</v>
      </c>
      <c r="H29" s="3"/>
    </row>
    <row r="30" spans="1:8">
      <c r="A30" s="8"/>
      <c r="B30" s="3"/>
      <c r="C30" s="3"/>
      <c r="D30" s="4"/>
      <c r="E30" s="3"/>
      <c r="F30" s="3"/>
      <c r="G30" s="3" t="s">
        <v>147</v>
      </c>
      <c r="H30" s="3"/>
    </row>
    <row r="31" spans="1:8">
      <c r="A31" s="8"/>
      <c r="B31" s="3"/>
      <c r="C31" s="3"/>
      <c r="D31" s="4"/>
      <c r="E31" s="3"/>
      <c r="F31" s="3"/>
      <c r="G31" s="3" t="s">
        <v>147</v>
      </c>
      <c r="H31" s="3"/>
    </row>
    <row r="32" spans="1:8">
      <c r="A32" s="8"/>
      <c r="B32" s="3"/>
      <c r="C32" s="3"/>
      <c r="D32" s="4"/>
      <c r="E32" s="3"/>
      <c r="F32" s="3"/>
      <c r="G32" s="3" t="s">
        <v>147</v>
      </c>
      <c r="H32" s="3"/>
    </row>
    <row r="33" spans="1:8">
      <c r="A33" s="8"/>
      <c r="B33" s="3"/>
      <c r="C33" s="3"/>
      <c r="D33" s="4"/>
      <c r="E33" s="3"/>
      <c r="F33" s="3"/>
      <c r="G33" s="3" t="s">
        <v>147</v>
      </c>
      <c r="H33" s="3"/>
    </row>
    <row r="34" spans="1:8">
      <c r="A34" s="8"/>
      <c r="B34" s="3"/>
      <c r="C34" s="3"/>
      <c r="D34" s="4"/>
      <c r="E34" s="3"/>
      <c r="F34" s="3"/>
      <c r="G34" s="3" t="s">
        <v>147</v>
      </c>
      <c r="H34" s="3"/>
    </row>
    <row r="35" spans="1:8">
      <c r="A35" s="8"/>
      <c r="B35" s="3"/>
      <c r="C35" s="3"/>
      <c r="D35" s="4"/>
      <c r="E35" s="3"/>
      <c r="F35" s="3"/>
      <c r="G35" s="3" t="s">
        <v>147</v>
      </c>
      <c r="H35" s="3"/>
    </row>
    <row r="36" spans="1:8">
      <c r="A36" s="8"/>
      <c r="B36" s="3"/>
      <c r="C36" s="3"/>
      <c r="D36" s="4"/>
      <c r="E36" s="3"/>
      <c r="F36" s="3"/>
      <c r="G36" s="3" t="s">
        <v>147</v>
      </c>
      <c r="H36" s="3"/>
    </row>
    <row r="37" spans="1:8">
      <c r="A37" s="8"/>
      <c r="B37" s="3"/>
      <c r="C37" s="3"/>
      <c r="D37" s="4"/>
      <c r="E37" s="3"/>
      <c r="F37" s="3"/>
      <c r="G37" s="3" t="s">
        <v>147</v>
      </c>
      <c r="H37" s="3"/>
    </row>
    <row r="38" spans="1:8">
      <c r="A38" s="8"/>
      <c r="B38" s="3"/>
      <c r="C38" s="3"/>
      <c r="D38" s="4"/>
      <c r="E38" s="3"/>
      <c r="F38" s="3"/>
      <c r="G38" s="3" t="s">
        <v>147</v>
      </c>
      <c r="H38" s="3"/>
    </row>
    <row r="39" spans="1:8">
      <c r="A39" s="8"/>
      <c r="B39" s="3"/>
      <c r="C39" s="3"/>
      <c r="D39" s="4"/>
      <c r="E39" s="3"/>
      <c r="F39" s="3"/>
      <c r="G39" s="3" t="s">
        <v>147</v>
      </c>
      <c r="H39" s="3"/>
    </row>
    <row r="40" spans="1:8">
      <c r="A40" s="8"/>
      <c r="B40" s="3"/>
      <c r="C40" s="3"/>
      <c r="D40" s="4"/>
      <c r="E40" s="3"/>
      <c r="F40" s="3"/>
      <c r="G40" s="3" t="s">
        <v>147</v>
      </c>
      <c r="H40" s="3"/>
    </row>
    <row r="41" spans="1:8">
      <c r="A41" s="8"/>
      <c r="B41" s="3"/>
      <c r="C41" s="3"/>
      <c r="D41" s="4"/>
      <c r="E41" s="3"/>
      <c r="F41" s="3"/>
      <c r="G41" s="3" t="s">
        <v>147</v>
      </c>
      <c r="H41" s="3"/>
    </row>
    <row r="42" spans="1:8">
      <c r="A42" s="8"/>
      <c r="B42" s="3"/>
      <c r="C42" s="3"/>
      <c r="D42" s="4"/>
      <c r="E42" s="3"/>
      <c r="F42" s="3"/>
      <c r="G42" s="3" t="s">
        <v>147</v>
      </c>
      <c r="H42" s="3"/>
    </row>
    <row r="43" spans="1:8">
      <c r="A43" s="8"/>
      <c r="B43" s="3"/>
      <c r="C43" s="3"/>
      <c r="D43" s="4"/>
      <c r="E43" s="3"/>
      <c r="F43" s="3"/>
      <c r="G43" s="3" t="s">
        <v>147</v>
      </c>
      <c r="H43" s="3"/>
    </row>
    <row r="44" spans="1:8">
      <c r="A44" s="8"/>
      <c r="B44" s="3"/>
      <c r="C44" s="3"/>
      <c r="D44" s="4"/>
      <c r="E44" s="3"/>
      <c r="F44" s="3"/>
      <c r="G44" s="3" t="s">
        <v>147</v>
      </c>
      <c r="H44" s="3"/>
    </row>
    <row r="45" spans="1:8">
      <c r="A45" s="8"/>
      <c r="B45" s="3"/>
      <c r="C45" s="3"/>
      <c r="D45" s="4"/>
      <c r="E45" s="3"/>
      <c r="F45" s="3"/>
      <c r="G45" s="3" t="s">
        <v>147</v>
      </c>
      <c r="H45" s="3"/>
    </row>
    <row r="46" spans="1:8">
      <c r="A46" s="8"/>
      <c r="B46" s="3"/>
      <c r="C46" s="3"/>
      <c r="D46" s="4"/>
      <c r="E46" s="3"/>
      <c r="F46" s="3"/>
      <c r="G46" s="3" t="s">
        <v>147</v>
      </c>
      <c r="H46" s="3"/>
    </row>
    <row r="47" spans="1:8">
      <c r="A47" s="8"/>
      <c r="B47" s="3"/>
      <c r="C47" s="3"/>
      <c r="D47" s="4"/>
      <c r="E47" s="3"/>
      <c r="F47" s="3"/>
      <c r="G47" s="3" t="s">
        <v>147</v>
      </c>
      <c r="H47" s="3"/>
    </row>
    <row r="48" spans="1:8">
      <c r="A48" s="8"/>
      <c r="B48" s="3"/>
      <c r="C48" s="3"/>
      <c r="D48" s="4"/>
      <c r="E48" s="3"/>
      <c r="F48" s="3"/>
      <c r="G48" s="3" t="s">
        <v>147</v>
      </c>
      <c r="H48" s="3"/>
    </row>
    <row r="49" spans="1:8">
      <c r="A49" s="8"/>
      <c r="B49" s="3"/>
      <c r="C49" s="3"/>
      <c r="D49" s="4"/>
      <c r="E49" s="3"/>
      <c r="F49" s="3"/>
      <c r="G49" s="3" t="s">
        <v>147</v>
      </c>
      <c r="H49" s="3"/>
    </row>
    <row r="50" spans="1:8">
      <c r="A50" s="8"/>
      <c r="B50" s="3"/>
      <c r="C50" s="3"/>
      <c r="D50" s="4"/>
      <c r="E50" s="3"/>
      <c r="F50" s="3"/>
      <c r="G50" s="3" t="s">
        <v>147</v>
      </c>
      <c r="H50" s="3"/>
    </row>
    <row r="51" spans="1:8">
      <c r="A51" s="8"/>
      <c r="B51" s="3"/>
      <c r="C51" s="3"/>
      <c r="D51" s="4"/>
      <c r="E51" s="3"/>
      <c r="F51" s="3"/>
      <c r="G51" s="3" t="s">
        <v>147</v>
      </c>
      <c r="H51" s="3"/>
    </row>
    <row r="52" spans="1:8">
      <c r="A52" s="8"/>
      <c r="B52" s="3"/>
      <c r="C52" s="3"/>
      <c r="D52" s="4"/>
      <c r="E52" s="3"/>
      <c r="F52" s="3"/>
      <c r="G52" s="3" t="s">
        <v>147</v>
      </c>
      <c r="H52" s="3"/>
    </row>
    <row r="53" spans="1:8">
      <c r="A53" s="8"/>
      <c r="B53" s="3"/>
      <c r="C53" s="3"/>
      <c r="D53" s="4"/>
      <c r="E53" s="3"/>
      <c r="F53" s="3"/>
      <c r="G53" s="3" t="s">
        <v>147</v>
      </c>
      <c r="H53" s="3"/>
    </row>
    <row r="54" spans="1:8">
      <c r="A54" s="8"/>
      <c r="B54" s="3"/>
      <c r="C54" s="3"/>
      <c r="D54" s="4"/>
      <c r="E54" s="3"/>
      <c r="F54" s="3"/>
      <c r="G54" s="3" t="s">
        <v>147</v>
      </c>
      <c r="H54" s="3"/>
    </row>
    <row r="55" spans="1:8">
      <c r="A55" s="8"/>
      <c r="B55" s="3"/>
      <c r="C55" s="3"/>
      <c r="D55" s="4"/>
      <c r="E55" s="3"/>
      <c r="F55" s="3"/>
      <c r="G55" s="3" t="s">
        <v>147</v>
      </c>
      <c r="H55" s="3"/>
    </row>
    <row r="56" spans="1:8">
      <c r="A56" s="8"/>
      <c r="B56" s="3"/>
      <c r="C56" s="3"/>
      <c r="D56" s="4"/>
      <c r="E56" s="3"/>
      <c r="F56" s="3"/>
      <c r="G56" s="3" t="s">
        <v>147</v>
      </c>
      <c r="H56" s="3"/>
    </row>
    <row r="57" spans="1:8">
      <c r="A57" s="8"/>
      <c r="B57" s="3"/>
      <c r="C57" s="3"/>
      <c r="D57" s="4"/>
      <c r="E57" s="3"/>
      <c r="F57" s="3"/>
      <c r="G57" s="3" t="s">
        <v>147</v>
      </c>
      <c r="H57" s="3"/>
    </row>
    <row r="58" spans="1:8">
      <c r="A58" s="8"/>
      <c r="B58" s="3"/>
      <c r="C58" s="3"/>
      <c r="D58" s="4"/>
      <c r="E58" s="3"/>
      <c r="F58" s="3"/>
      <c r="G58" s="3" t="s">
        <v>147</v>
      </c>
      <c r="H58" s="3"/>
    </row>
    <row r="59" spans="1:8">
      <c r="A59" s="8"/>
      <c r="B59" s="3"/>
      <c r="C59" s="3"/>
      <c r="D59" s="4"/>
      <c r="E59" s="3"/>
      <c r="F59" s="3"/>
      <c r="G59" s="3" t="s">
        <v>147</v>
      </c>
      <c r="H59" s="3"/>
    </row>
    <row r="60" spans="1:8">
      <c r="A60" s="8"/>
      <c r="B60" s="3"/>
      <c r="C60" s="3"/>
      <c r="D60" s="4"/>
      <c r="E60" s="3"/>
      <c r="F60" s="3"/>
      <c r="G60" s="3" t="s">
        <v>147</v>
      </c>
      <c r="H60" s="3"/>
    </row>
    <row r="61" spans="1:8">
      <c r="A61" s="8"/>
      <c r="B61" s="3"/>
      <c r="C61" s="3"/>
      <c r="D61" s="4"/>
      <c r="E61" s="3"/>
      <c r="F61" s="3"/>
      <c r="G61" s="3" t="s">
        <v>147</v>
      </c>
      <c r="H61" s="3"/>
    </row>
    <row r="62" spans="1:8">
      <c r="A62" s="8"/>
      <c r="B62" s="3"/>
      <c r="C62" s="3"/>
      <c r="D62" s="4"/>
      <c r="E62" s="3"/>
      <c r="F62" s="3"/>
      <c r="G62" s="3" t="s">
        <v>147</v>
      </c>
      <c r="H62" s="3"/>
    </row>
    <row r="63" spans="1:8">
      <c r="A63" s="8"/>
      <c r="B63" s="3"/>
      <c r="C63" s="3"/>
      <c r="D63" s="4"/>
      <c r="E63" s="3"/>
      <c r="F63" s="3"/>
      <c r="G63" s="3" t="s">
        <v>147</v>
      </c>
      <c r="H63" s="3"/>
    </row>
    <row r="64" spans="1:8">
      <c r="A64" s="8"/>
      <c r="B64" s="3"/>
      <c r="C64" s="3"/>
      <c r="D64" s="4"/>
      <c r="E64" s="3"/>
      <c r="F64" s="3"/>
      <c r="G64" s="3" t="s">
        <v>147</v>
      </c>
      <c r="H64" s="3"/>
    </row>
    <row r="65" spans="1:8">
      <c r="A65" s="8"/>
      <c r="B65" s="3"/>
      <c r="C65" s="3"/>
      <c r="D65" s="4"/>
      <c r="E65" s="3"/>
      <c r="F65" s="3"/>
      <c r="G65" s="3" t="s">
        <v>147</v>
      </c>
      <c r="H65" s="3"/>
    </row>
    <row r="66" spans="1:8">
      <c r="A66" s="8"/>
      <c r="B66" s="3"/>
      <c r="C66" s="3"/>
      <c r="D66" s="4"/>
      <c r="E66" s="3"/>
      <c r="F66" s="3"/>
      <c r="G66" s="3" t="s">
        <v>147</v>
      </c>
      <c r="H66" s="3"/>
    </row>
    <row r="67" spans="1:8">
      <c r="A67" s="8"/>
      <c r="B67" s="3"/>
      <c r="C67" s="3"/>
      <c r="D67" s="4"/>
      <c r="E67" s="3"/>
      <c r="F67" s="3"/>
      <c r="G67" s="3" t="s">
        <v>147</v>
      </c>
      <c r="H67" s="3"/>
    </row>
    <row r="68" spans="1:8">
      <c r="A68" s="8"/>
      <c r="B68" s="3"/>
      <c r="C68" s="3"/>
      <c r="D68" s="4"/>
      <c r="E68" s="3"/>
      <c r="F68" s="3"/>
      <c r="G68" s="3" t="s">
        <v>147</v>
      </c>
      <c r="H68" s="3"/>
    </row>
    <row r="69" spans="1:8">
      <c r="A69" s="8"/>
      <c r="B69" s="3"/>
      <c r="C69" s="3"/>
      <c r="D69" s="4"/>
      <c r="E69" s="3"/>
      <c r="F69" s="3"/>
      <c r="G69" s="3" t="s">
        <v>147</v>
      </c>
      <c r="H69" s="3"/>
    </row>
    <row r="70" spans="1:8">
      <c r="A70" s="8"/>
      <c r="B70" s="3"/>
      <c r="C70" s="3"/>
      <c r="D70" s="4"/>
      <c r="E70" s="3"/>
      <c r="F70" s="3"/>
      <c r="G70" s="3" t="s">
        <v>147</v>
      </c>
      <c r="H70" s="3"/>
    </row>
    <row r="71" spans="1:8">
      <c r="A71" s="8"/>
      <c r="B71" s="3"/>
      <c r="C71" s="3"/>
      <c r="D71" s="4"/>
      <c r="E71" s="3"/>
      <c r="F71" s="3"/>
      <c r="G71" s="3" t="s">
        <v>147</v>
      </c>
      <c r="H71" s="3"/>
    </row>
    <row r="72" spans="1:8">
      <c r="A72" s="8"/>
      <c r="B72" s="3"/>
      <c r="C72" s="3"/>
      <c r="D72" s="4"/>
      <c r="E72" s="3"/>
      <c r="F72" s="3"/>
      <c r="G72" s="3" t="s">
        <v>147</v>
      </c>
      <c r="H72" s="3"/>
    </row>
    <row r="73" spans="1:8">
      <c r="A73" s="8"/>
      <c r="B73" s="3"/>
      <c r="C73" s="3"/>
      <c r="D73" s="4"/>
      <c r="E73" s="3"/>
      <c r="F73" s="3"/>
      <c r="G73" s="3" t="s">
        <v>147</v>
      </c>
      <c r="H73" s="3"/>
    </row>
    <row r="74" spans="1:8">
      <c r="A74" s="8"/>
      <c r="B74" s="3"/>
      <c r="C74" s="3"/>
      <c r="D74" s="4"/>
      <c r="E74" s="3"/>
      <c r="F74" s="3"/>
      <c r="G74" s="3" t="s">
        <v>147</v>
      </c>
      <c r="H74" s="3"/>
    </row>
    <row r="75" spans="1:8">
      <c r="A75" s="8"/>
      <c r="B75" s="3"/>
      <c r="C75" s="3"/>
      <c r="D75" s="4"/>
      <c r="E75" s="3"/>
      <c r="F75" s="3"/>
      <c r="G75" s="3" t="s">
        <v>147</v>
      </c>
      <c r="H75" s="3"/>
    </row>
    <row r="76" spans="1:8">
      <c r="A76" s="8"/>
      <c r="B76" s="3"/>
      <c r="C76" s="3"/>
      <c r="D76" s="4"/>
      <c r="E76" s="3"/>
      <c r="F76" s="3"/>
      <c r="G76" s="3" t="s">
        <v>147</v>
      </c>
      <c r="H76" s="3"/>
    </row>
    <row r="77" spans="1:8">
      <c r="A77" s="8"/>
      <c r="B77" s="3"/>
      <c r="C77" s="3"/>
      <c r="D77" s="4"/>
      <c r="E77" s="3"/>
      <c r="F77" s="3"/>
      <c r="G77" s="3" t="s">
        <v>147</v>
      </c>
      <c r="H77" s="3"/>
    </row>
    <row r="78" spans="1:8">
      <c r="A78" s="8"/>
      <c r="B78" s="3"/>
      <c r="C78" s="3"/>
      <c r="D78" s="4"/>
      <c r="E78" s="3"/>
      <c r="F78" s="3"/>
      <c r="G78" s="3" t="s">
        <v>147</v>
      </c>
      <c r="H78" s="3"/>
    </row>
    <row r="79" spans="1:8">
      <c r="A79" s="8"/>
      <c r="B79" s="3"/>
      <c r="C79" s="3"/>
      <c r="D79" s="4"/>
      <c r="E79" s="3"/>
      <c r="F79" s="3"/>
      <c r="G79" s="3" t="s">
        <v>147</v>
      </c>
      <c r="H79" s="3"/>
    </row>
    <row r="80" spans="1:8">
      <c r="A80" s="8"/>
      <c r="B80" s="3"/>
      <c r="C80" s="3"/>
      <c r="D80" s="4"/>
      <c r="E80" s="3"/>
      <c r="F80" s="3"/>
      <c r="G80" s="3" t="s">
        <v>147</v>
      </c>
      <c r="H80" s="3"/>
    </row>
    <row r="81" spans="1:8">
      <c r="A81" s="8"/>
      <c r="B81" s="3"/>
      <c r="C81" s="3"/>
      <c r="D81" s="4"/>
      <c r="E81" s="3"/>
      <c r="F81" s="3"/>
      <c r="G81" s="3" t="s">
        <v>147</v>
      </c>
      <c r="H81" s="3"/>
    </row>
    <row r="82" spans="1:8">
      <c r="A82" s="8"/>
      <c r="B82" s="3"/>
      <c r="C82" s="3"/>
      <c r="D82" s="4"/>
      <c r="E82" s="3"/>
      <c r="F82" s="3"/>
      <c r="G82" s="3" t="s">
        <v>147</v>
      </c>
      <c r="H82" s="3"/>
    </row>
    <row r="83" spans="1:8">
      <c r="A83" s="8"/>
      <c r="B83" s="3"/>
      <c r="C83" s="3"/>
      <c r="D83" s="4"/>
      <c r="E83" s="3"/>
      <c r="F83" s="3"/>
      <c r="G83" s="3" t="s">
        <v>147</v>
      </c>
      <c r="H83" s="3"/>
    </row>
    <row r="84" spans="1:8">
      <c r="A84" s="8"/>
      <c r="B84" s="3"/>
      <c r="C84" s="3"/>
      <c r="D84" s="4"/>
      <c r="E84" s="3"/>
      <c r="F84" s="3"/>
      <c r="G84" s="3" t="s">
        <v>147</v>
      </c>
      <c r="H84" s="3"/>
    </row>
    <row r="85" spans="1:8">
      <c r="A85" s="8"/>
      <c r="B85" s="3"/>
      <c r="C85" s="3"/>
      <c r="D85" s="4"/>
      <c r="E85" s="3"/>
      <c r="F85" s="3"/>
      <c r="G85" s="3" t="s">
        <v>147</v>
      </c>
      <c r="H85" s="3"/>
    </row>
    <row r="86" spans="1:8">
      <c r="A86" s="8"/>
      <c r="B86" s="3"/>
      <c r="C86" s="3"/>
      <c r="D86" s="4"/>
      <c r="E86" s="3"/>
      <c r="F86" s="3"/>
      <c r="G86" s="3" t="s">
        <v>147</v>
      </c>
      <c r="H86" s="3"/>
    </row>
    <row r="87" spans="1:8">
      <c r="A87" s="8"/>
      <c r="B87" s="3"/>
      <c r="C87" s="3"/>
      <c r="D87" s="4"/>
      <c r="E87" s="3"/>
      <c r="F87" s="3"/>
      <c r="G87" s="3" t="s">
        <v>147</v>
      </c>
      <c r="H87" s="3"/>
    </row>
    <row r="88" spans="1:8">
      <c r="A88" s="8"/>
      <c r="B88" s="3"/>
      <c r="C88" s="3"/>
      <c r="D88" s="4"/>
      <c r="E88" s="3"/>
      <c r="F88" s="3"/>
      <c r="G88" s="3" t="s">
        <v>147</v>
      </c>
      <c r="H88" s="3"/>
    </row>
    <row r="89" spans="1:8">
      <c r="A89" s="8"/>
      <c r="B89" s="3"/>
      <c r="C89" s="3"/>
      <c r="D89" s="4"/>
      <c r="E89" s="3"/>
      <c r="F89" s="3"/>
      <c r="G89" s="3" t="s">
        <v>147</v>
      </c>
      <c r="H89" s="3"/>
    </row>
    <row r="90" spans="1:8">
      <c r="A90" s="8"/>
      <c r="B90" s="3"/>
      <c r="C90" s="3"/>
      <c r="D90" s="4"/>
      <c r="E90" s="3"/>
      <c r="F90" s="3"/>
      <c r="G90" s="3" t="s">
        <v>147</v>
      </c>
      <c r="H90" s="3"/>
    </row>
    <row r="91" spans="1:8">
      <c r="A91" s="8"/>
      <c r="B91" s="3"/>
      <c r="C91" s="3"/>
      <c r="D91" s="4"/>
      <c r="E91" s="3"/>
      <c r="F91" s="3"/>
      <c r="G91" s="3" t="s">
        <v>147</v>
      </c>
      <c r="H91" s="3"/>
    </row>
    <row r="92" spans="1:8">
      <c r="A92" s="8"/>
      <c r="B92" s="3"/>
      <c r="C92" s="3"/>
      <c r="D92" s="4"/>
      <c r="E92" s="3"/>
      <c r="F92" s="3"/>
      <c r="G92" s="3" t="s">
        <v>147</v>
      </c>
      <c r="H92" s="3"/>
    </row>
    <row r="93" spans="1:8">
      <c r="A93" s="8"/>
      <c r="B93" s="3"/>
      <c r="C93" s="3"/>
      <c r="D93" s="4"/>
      <c r="E93" s="3"/>
      <c r="F93" s="3"/>
      <c r="G93" s="3" t="s">
        <v>147</v>
      </c>
      <c r="H93" s="3"/>
    </row>
    <row r="94" spans="1:8">
      <c r="A94" s="8"/>
      <c r="B94" s="3"/>
      <c r="C94" s="3"/>
      <c r="D94" s="4"/>
      <c r="E94" s="3"/>
      <c r="F94" s="3"/>
      <c r="G94" s="3" t="s">
        <v>147</v>
      </c>
      <c r="H94" s="3"/>
    </row>
    <row r="95" spans="1:8">
      <c r="A95" s="8"/>
      <c r="B95" s="3"/>
      <c r="C95" s="3"/>
      <c r="D95" s="4"/>
      <c r="E95" s="3"/>
      <c r="F95" s="3"/>
      <c r="G95" s="3" t="s">
        <v>147</v>
      </c>
      <c r="H95" s="3"/>
    </row>
    <row r="96" spans="1:8">
      <c r="A96" s="8"/>
      <c r="B96" s="3"/>
      <c r="C96" s="3"/>
      <c r="D96" s="4"/>
      <c r="E96" s="3"/>
      <c r="F96" s="3"/>
      <c r="G96" s="3" t="s">
        <v>147</v>
      </c>
      <c r="H96" s="3"/>
    </row>
    <row r="97" spans="1:8">
      <c r="A97" s="8"/>
      <c r="B97" s="3"/>
      <c r="C97" s="3"/>
      <c r="D97" s="4"/>
      <c r="E97" s="3"/>
      <c r="F97" s="3"/>
      <c r="G97" s="3" t="s">
        <v>147</v>
      </c>
      <c r="H97" s="3"/>
    </row>
    <row r="98" spans="1:8">
      <c r="A98" s="8"/>
      <c r="B98" s="3"/>
      <c r="C98" s="3"/>
      <c r="D98" s="4"/>
      <c r="E98" s="3"/>
      <c r="F98" s="3"/>
      <c r="G98" s="3" t="s">
        <v>147</v>
      </c>
      <c r="H98" s="3"/>
    </row>
    <row r="99" spans="1:8">
      <c r="A99" s="8"/>
      <c r="B99" s="3"/>
      <c r="C99" s="3"/>
      <c r="D99" s="4"/>
      <c r="E99" s="3"/>
      <c r="F99" s="3"/>
      <c r="G99" s="3" t="s">
        <v>147</v>
      </c>
      <c r="H99" s="3"/>
    </row>
    <row r="100" spans="1:8">
      <c r="A100" s="8"/>
      <c r="B100" s="3"/>
      <c r="C100" s="3"/>
      <c r="D100" s="4"/>
      <c r="E100" s="3"/>
      <c r="F100" s="3"/>
      <c r="G100" s="3" t="s">
        <v>147</v>
      </c>
      <c r="H100" s="3"/>
    </row>
    <row r="101" spans="1:8">
      <c r="A101" s="8"/>
      <c r="B101" s="3"/>
      <c r="C101" s="3"/>
      <c r="D101" s="4"/>
      <c r="E101" s="3"/>
      <c r="F101" s="3"/>
      <c r="G101" s="3" t="s">
        <v>147</v>
      </c>
      <c r="H101" s="3"/>
    </row>
    <row r="102" spans="1:8">
      <c r="A102" s="8"/>
      <c r="B102" s="3"/>
      <c r="C102" s="3"/>
      <c r="D102" s="4"/>
      <c r="E102" s="3"/>
      <c r="F102" s="3"/>
      <c r="G102" s="3" t="s">
        <v>147</v>
      </c>
      <c r="H102" s="3"/>
    </row>
    <row r="103" spans="1:8">
      <c r="A103" s="8"/>
      <c r="B103" s="3"/>
      <c r="C103" s="3"/>
      <c r="D103" s="4"/>
      <c r="E103" s="3"/>
      <c r="F103" s="3"/>
      <c r="G103" s="3" t="s">
        <v>147</v>
      </c>
      <c r="H103" s="3"/>
    </row>
    <row r="104" spans="1:8">
      <c r="A104" s="8"/>
      <c r="B104" s="3"/>
      <c r="C104" s="3"/>
      <c r="D104" s="4"/>
      <c r="E104" s="3"/>
      <c r="F104" s="3"/>
      <c r="G104" s="3" t="s">
        <v>147</v>
      </c>
      <c r="H104" s="3"/>
    </row>
    <row r="105" spans="1:8">
      <c r="A105" s="8"/>
      <c r="B105" s="3"/>
      <c r="C105" s="3"/>
      <c r="D105" s="4"/>
      <c r="E105" s="3"/>
      <c r="F105" s="3"/>
      <c r="G105" s="3" t="s">
        <v>147</v>
      </c>
      <c r="H105" s="3"/>
    </row>
    <row r="106" spans="1:8">
      <c r="A106" s="8"/>
      <c r="B106" s="3"/>
      <c r="C106" s="3"/>
      <c r="D106" s="4"/>
      <c r="E106" s="3"/>
      <c r="F106" s="3"/>
      <c r="G106" s="3" t="s">
        <v>147</v>
      </c>
      <c r="H106" s="3"/>
    </row>
    <row r="107" spans="1:8">
      <c r="A107" s="8"/>
      <c r="B107" s="3"/>
      <c r="C107" s="3"/>
      <c r="D107" s="4"/>
      <c r="E107" s="3"/>
      <c r="F107" s="3"/>
      <c r="G107" s="3" t="s">
        <v>147</v>
      </c>
      <c r="H107" s="3"/>
    </row>
    <row r="108" spans="1:8">
      <c r="A108" s="8"/>
      <c r="B108" s="3"/>
      <c r="C108" s="3"/>
      <c r="D108" s="4"/>
      <c r="E108" s="3"/>
      <c r="F108" s="3"/>
      <c r="G108" s="3" t="s">
        <v>147</v>
      </c>
      <c r="H108" s="3"/>
    </row>
    <row r="109" spans="1:8">
      <c r="A109" s="8"/>
      <c r="B109" s="3"/>
      <c r="C109" s="3"/>
      <c r="D109" s="4"/>
      <c r="E109" s="3"/>
      <c r="F109" s="3"/>
      <c r="G109" s="3" t="s">
        <v>147</v>
      </c>
      <c r="H109" s="3"/>
    </row>
    <row r="110" spans="1:8">
      <c r="A110" s="8"/>
      <c r="B110" s="3"/>
      <c r="C110" s="3"/>
      <c r="D110" s="4"/>
      <c r="E110" s="3"/>
      <c r="F110" s="3"/>
      <c r="G110" s="3" t="s">
        <v>147</v>
      </c>
      <c r="H110" s="3"/>
    </row>
    <row r="111" spans="1:8">
      <c r="A111" s="8"/>
      <c r="B111" s="3"/>
      <c r="C111" s="3"/>
      <c r="D111" s="4"/>
      <c r="E111" s="3"/>
      <c r="F111" s="3"/>
      <c r="G111" s="3" t="s">
        <v>147</v>
      </c>
      <c r="H111" s="3"/>
    </row>
    <row r="112" spans="1:8">
      <c r="A112" s="8"/>
      <c r="B112" s="3"/>
      <c r="C112" s="3"/>
      <c r="D112" s="4"/>
      <c r="E112" s="3"/>
      <c r="F112" s="3"/>
      <c r="G112" s="3" t="s">
        <v>147</v>
      </c>
      <c r="H112" s="3"/>
    </row>
    <row r="113" spans="1:8">
      <c r="A113" s="8"/>
      <c r="B113" s="3"/>
      <c r="C113" s="3"/>
      <c r="D113" s="4"/>
      <c r="E113" s="3"/>
      <c r="F113" s="3"/>
      <c r="G113" s="3" t="s">
        <v>147</v>
      </c>
      <c r="H113" s="3"/>
    </row>
    <row r="114" spans="1:8">
      <c r="A114" s="8"/>
      <c r="B114" s="3"/>
      <c r="C114" s="3"/>
      <c r="D114" s="4"/>
      <c r="E114" s="3"/>
      <c r="F114" s="3"/>
      <c r="G114" s="3" t="s">
        <v>147</v>
      </c>
      <c r="H114" s="3"/>
    </row>
    <row r="115" spans="1:8">
      <c r="A115" s="8"/>
      <c r="B115" s="3"/>
      <c r="C115" s="3"/>
      <c r="D115" s="4"/>
      <c r="E115" s="3"/>
      <c r="F115" s="3"/>
      <c r="G115" s="3" t="s">
        <v>147</v>
      </c>
      <c r="H115" s="3"/>
    </row>
    <row r="116" spans="1:8">
      <c r="A116" s="8"/>
      <c r="B116" s="3"/>
      <c r="C116" s="3"/>
      <c r="D116" s="4"/>
      <c r="E116" s="3"/>
      <c r="F116" s="3"/>
      <c r="G116" s="3" t="s">
        <v>147</v>
      </c>
      <c r="H116" s="3"/>
    </row>
    <row r="117" spans="1:8">
      <c r="A117" s="8"/>
      <c r="B117" s="3"/>
      <c r="C117" s="3"/>
      <c r="D117" s="4"/>
      <c r="E117" s="3"/>
      <c r="F117" s="3"/>
      <c r="G117" s="3" t="s">
        <v>147</v>
      </c>
      <c r="H117" s="3"/>
    </row>
    <row r="118" spans="1:8">
      <c r="A118" s="8"/>
      <c r="B118" s="3"/>
      <c r="C118" s="3"/>
      <c r="D118" s="4"/>
      <c r="E118" s="3"/>
      <c r="F118" s="3"/>
      <c r="G118" s="3" t="s">
        <v>147</v>
      </c>
      <c r="H118" s="3"/>
    </row>
    <row r="119" spans="1:8">
      <c r="A119" s="8"/>
      <c r="B119" s="3"/>
      <c r="C119" s="3"/>
      <c r="D119" s="4"/>
      <c r="E119" s="3"/>
      <c r="F119" s="3"/>
      <c r="G119" s="3" t="s">
        <v>147</v>
      </c>
      <c r="H119" s="3"/>
    </row>
    <row r="120" spans="1:8">
      <c r="A120" s="8"/>
      <c r="B120" s="3"/>
      <c r="C120" s="3"/>
      <c r="D120" s="4"/>
      <c r="E120" s="3"/>
      <c r="F120" s="3"/>
      <c r="G120" s="3" t="s">
        <v>147</v>
      </c>
      <c r="H120" s="3"/>
    </row>
    <row r="121" spans="1:8">
      <c r="A121" s="8"/>
      <c r="B121" s="3"/>
      <c r="C121" s="3"/>
      <c r="D121" s="4"/>
      <c r="E121" s="3"/>
      <c r="F121" s="3"/>
      <c r="G121" s="3" t="s">
        <v>147</v>
      </c>
      <c r="H121" s="3"/>
    </row>
    <row r="122" spans="1:8">
      <c r="A122" s="8"/>
      <c r="B122" s="3"/>
      <c r="C122" s="3"/>
      <c r="D122" s="4"/>
      <c r="E122" s="3"/>
      <c r="F122" s="3"/>
      <c r="G122" s="3" t="s">
        <v>147</v>
      </c>
      <c r="H122" s="3"/>
    </row>
    <row r="123" spans="1:8">
      <c r="A123" s="8"/>
      <c r="B123" s="3"/>
      <c r="C123" s="3"/>
      <c r="D123" s="4"/>
      <c r="E123" s="3"/>
      <c r="F123" s="3"/>
      <c r="G123" s="3" t="s">
        <v>147</v>
      </c>
      <c r="H123" s="3"/>
    </row>
    <row r="124" spans="1:8">
      <c r="A124" s="8"/>
      <c r="B124" s="3"/>
      <c r="C124" s="3"/>
      <c r="D124" s="4"/>
      <c r="E124" s="3"/>
      <c r="F124" s="3"/>
      <c r="G124" s="3" t="s">
        <v>147</v>
      </c>
      <c r="H124" s="3"/>
    </row>
    <row r="125" spans="1:8">
      <c r="A125" s="8"/>
      <c r="B125" s="3"/>
      <c r="C125" s="3"/>
      <c r="D125" s="4"/>
      <c r="E125" s="3"/>
      <c r="F125" s="3"/>
      <c r="G125" s="3" t="s">
        <v>147</v>
      </c>
      <c r="H125" s="3"/>
    </row>
    <row r="126" spans="1:8">
      <c r="A126" s="8"/>
      <c r="B126" s="3"/>
      <c r="C126" s="3"/>
      <c r="D126" s="4"/>
      <c r="E126" s="3"/>
      <c r="F126" s="3"/>
      <c r="G126" s="3" t="s">
        <v>147</v>
      </c>
      <c r="H126" s="3"/>
    </row>
    <row r="127" spans="1:8">
      <c r="A127" s="8"/>
      <c r="B127" s="3"/>
      <c r="C127" s="3"/>
      <c r="D127" s="4"/>
      <c r="E127" s="3"/>
      <c r="F127" s="3"/>
      <c r="G127" s="3" t="s">
        <v>147</v>
      </c>
      <c r="H127" s="3"/>
    </row>
    <row r="128" spans="1:8">
      <c r="A128" s="8"/>
      <c r="B128" s="3"/>
      <c r="C128" s="3"/>
      <c r="D128" s="4"/>
      <c r="E128" s="3"/>
      <c r="F128" s="3"/>
      <c r="G128" s="3" t="s">
        <v>147</v>
      </c>
      <c r="H128" s="3"/>
    </row>
    <row r="129" spans="1:8">
      <c r="A129" s="8"/>
      <c r="B129" s="3"/>
      <c r="C129" s="3"/>
      <c r="D129" s="4"/>
      <c r="E129" s="3"/>
      <c r="F129" s="3"/>
      <c r="G129" s="3" t="s">
        <v>147</v>
      </c>
      <c r="H129" s="3"/>
    </row>
    <row r="130" spans="1:8">
      <c r="A130" s="8"/>
      <c r="B130" s="3"/>
      <c r="C130" s="3"/>
      <c r="D130" s="4"/>
      <c r="E130" s="3"/>
      <c r="F130" s="3"/>
      <c r="G130" s="3" t="s">
        <v>147</v>
      </c>
      <c r="H130" s="3"/>
    </row>
    <row r="131" spans="1:8">
      <c r="A131" s="8"/>
      <c r="B131" s="3"/>
      <c r="C131" s="3"/>
      <c r="D131" s="4"/>
      <c r="E131" s="3"/>
      <c r="F131" s="3"/>
      <c r="G131" s="3" t="s">
        <v>147</v>
      </c>
      <c r="H131" s="3"/>
    </row>
    <row r="132" spans="1:8">
      <c r="A132" s="8"/>
      <c r="B132" s="3"/>
      <c r="C132" s="3"/>
      <c r="D132" s="4"/>
      <c r="E132" s="3"/>
      <c r="F132" s="3"/>
      <c r="G132" s="3" t="s">
        <v>147</v>
      </c>
      <c r="H132" s="3"/>
    </row>
    <row r="133" spans="1:8">
      <c r="A133" s="8"/>
      <c r="B133" s="3"/>
      <c r="C133" s="3"/>
      <c r="D133" s="4"/>
      <c r="E133" s="3"/>
      <c r="F133" s="3"/>
      <c r="G133" s="3" t="s">
        <v>147</v>
      </c>
      <c r="H133" s="3"/>
    </row>
    <row r="134" spans="1:8">
      <c r="A134" s="8"/>
      <c r="B134" s="3"/>
      <c r="C134" s="3"/>
      <c r="D134" s="4"/>
      <c r="E134" s="3"/>
      <c r="F134" s="3"/>
      <c r="G134" s="3" t="s">
        <v>147</v>
      </c>
      <c r="H134" s="3"/>
    </row>
    <row r="135" spans="1:8">
      <c r="A135" s="8"/>
      <c r="B135" s="3"/>
      <c r="C135" s="3"/>
      <c r="D135" s="4"/>
      <c r="E135" s="3"/>
      <c r="F135" s="3"/>
      <c r="G135" s="3" t="s">
        <v>147</v>
      </c>
      <c r="H135" s="3"/>
    </row>
    <row r="136" spans="1:8">
      <c r="A136" s="8"/>
      <c r="B136" s="3"/>
      <c r="C136" s="3"/>
      <c r="D136" s="4"/>
      <c r="E136" s="3"/>
      <c r="F136" s="3"/>
      <c r="G136" s="3" t="s">
        <v>147</v>
      </c>
      <c r="H136" s="3"/>
    </row>
    <row r="137" spans="1:8">
      <c r="A137" s="8"/>
      <c r="B137" s="3"/>
      <c r="C137" s="3"/>
      <c r="D137" s="4"/>
      <c r="E137" s="3"/>
      <c r="F137" s="3"/>
      <c r="G137" s="3" t="s">
        <v>147</v>
      </c>
      <c r="H137" s="3"/>
    </row>
    <row r="138" spans="1:8">
      <c r="A138" s="8"/>
      <c r="B138" s="3"/>
      <c r="C138" s="3"/>
      <c r="D138" s="4"/>
      <c r="E138" s="3"/>
      <c r="F138" s="3"/>
      <c r="G138" s="3" t="s">
        <v>147</v>
      </c>
      <c r="H138" s="3"/>
    </row>
    <row r="139" spans="1:8">
      <c r="A139" s="8"/>
      <c r="B139" s="3"/>
      <c r="C139" s="3"/>
      <c r="D139" s="4"/>
      <c r="E139" s="3"/>
      <c r="F139" s="3"/>
      <c r="G139" s="3" t="s">
        <v>147</v>
      </c>
      <c r="H139" s="3"/>
    </row>
    <row r="140" spans="1:8">
      <c r="A140" s="8"/>
      <c r="B140" s="3"/>
      <c r="C140" s="3"/>
      <c r="D140" s="4"/>
      <c r="E140" s="3"/>
      <c r="F140" s="3"/>
      <c r="G140" s="3" t="s">
        <v>147</v>
      </c>
      <c r="H140" s="3"/>
    </row>
    <row r="141" spans="1:8">
      <c r="A141" s="8"/>
      <c r="B141" s="3"/>
      <c r="C141" s="3"/>
      <c r="D141" s="4"/>
      <c r="E141" s="3"/>
      <c r="F141" s="3"/>
      <c r="G141" s="3" t="s">
        <v>147</v>
      </c>
      <c r="H141" s="3"/>
    </row>
    <row r="142" spans="1:8">
      <c r="A142" s="8"/>
      <c r="B142" s="3"/>
      <c r="C142" s="3"/>
      <c r="D142" s="4"/>
      <c r="E142" s="3"/>
      <c r="F142" s="3"/>
      <c r="G142" s="3" t="s">
        <v>147</v>
      </c>
      <c r="H142" s="3"/>
    </row>
    <row r="143" spans="1:8">
      <c r="A143" s="8"/>
      <c r="B143" s="3"/>
      <c r="C143" s="3"/>
      <c r="D143" s="4"/>
      <c r="E143" s="3"/>
      <c r="F143" s="3"/>
      <c r="G143" s="3" t="s">
        <v>147</v>
      </c>
      <c r="H143" s="3"/>
    </row>
    <row r="144" spans="1:8">
      <c r="A144" s="8"/>
      <c r="B144" s="3"/>
      <c r="C144" s="3"/>
      <c r="D144" s="4"/>
      <c r="E144" s="3"/>
      <c r="F144" s="3"/>
      <c r="G144" s="3" t="s">
        <v>147</v>
      </c>
      <c r="H144" s="3"/>
    </row>
    <row r="145" spans="1:8">
      <c r="A145" s="8"/>
      <c r="B145" s="3"/>
      <c r="C145" s="3"/>
      <c r="D145" s="4"/>
      <c r="E145" s="3"/>
      <c r="F145" s="3"/>
      <c r="G145" s="3" t="s">
        <v>147</v>
      </c>
      <c r="H145" s="3"/>
    </row>
    <row r="146" spans="1:8">
      <c r="A146" s="8"/>
      <c r="B146" s="3"/>
      <c r="C146" s="3"/>
      <c r="D146" s="4"/>
      <c r="E146" s="3"/>
      <c r="F146" s="3"/>
      <c r="G146" s="3" t="s">
        <v>147</v>
      </c>
      <c r="H146" s="3"/>
    </row>
    <row r="147" spans="1:8">
      <c r="A147" s="8"/>
      <c r="B147" s="3"/>
      <c r="C147" s="3"/>
      <c r="D147" s="4"/>
      <c r="E147" s="3"/>
      <c r="F147" s="3"/>
      <c r="G147" s="3" t="s">
        <v>147</v>
      </c>
      <c r="H147" s="3"/>
    </row>
    <row r="148" spans="1:8">
      <c r="A148" s="8"/>
      <c r="B148" s="3"/>
      <c r="C148" s="3"/>
      <c r="D148" s="4"/>
      <c r="E148" s="3"/>
      <c r="F148" s="3"/>
      <c r="G148" s="3" t="s">
        <v>147</v>
      </c>
      <c r="H148" s="3"/>
    </row>
    <row r="149" spans="1:8">
      <c r="A149" s="8"/>
      <c r="B149" s="3"/>
      <c r="C149" s="3"/>
      <c r="D149" s="4"/>
      <c r="E149" s="3"/>
      <c r="F149" s="3"/>
      <c r="G149" s="3" t="s">
        <v>147</v>
      </c>
      <c r="H149" s="3"/>
    </row>
    <row r="150" spans="1:8">
      <c r="A150" s="8"/>
      <c r="B150" s="3"/>
      <c r="C150" s="3"/>
      <c r="D150" s="4"/>
      <c r="E150" s="3"/>
      <c r="F150" s="3"/>
      <c r="G150" s="3" t="s">
        <v>147</v>
      </c>
      <c r="H150" s="3"/>
    </row>
    <row r="151" spans="1:8">
      <c r="A151" s="8"/>
      <c r="B151" s="3"/>
      <c r="C151" s="3"/>
      <c r="D151" s="4"/>
      <c r="E151" s="3"/>
      <c r="F151" s="3"/>
      <c r="G151" s="3" t="s">
        <v>147</v>
      </c>
      <c r="H151" s="3"/>
    </row>
    <row r="152" spans="1:8">
      <c r="A152" s="8"/>
      <c r="B152" s="3"/>
      <c r="C152" s="3"/>
      <c r="D152" s="4"/>
      <c r="E152" s="3"/>
      <c r="F152" s="3"/>
      <c r="G152" s="3" t="s">
        <v>147</v>
      </c>
      <c r="H152" s="3"/>
    </row>
    <row r="153" spans="1:8">
      <c r="A153" s="8"/>
      <c r="B153" s="3"/>
      <c r="C153" s="3"/>
      <c r="D153" s="4"/>
      <c r="E153" s="3"/>
      <c r="F153" s="3"/>
      <c r="G153" s="3" t="s">
        <v>147</v>
      </c>
      <c r="H153" s="3"/>
    </row>
    <row r="154" spans="1:8">
      <c r="A154" s="8"/>
      <c r="B154" s="3"/>
      <c r="C154" s="3"/>
      <c r="D154" s="4"/>
      <c r="E154" s="3"/>
      <c r="F154" s="3"/>
      <c r="G154" s="3" t="s">
        <v>147</v>
      </c>
      <c r="H154" s="3"/>
    </row>
    <row r="155" spans="1:8">
      <c r="A155" s="8"/>
      <c r="B155" s="3"/>
      <c r="C155" s="3"/>
      <c r="D155" s="4"/>
      <c r="E155" s="3"/>
      <c r="F155" s="3"/>
      <c r="G155" s="3" t="s">
        <v>147</v>
      </c>
      <c r="H155" s="3"/>
    </row>
    <row r="156" spans="1:8">
      <c r="A156" s="8"/>
      <c r="B156" s="3"/>
      <c r="C156" s="3"/>
      <c r="D156" s="4"/>
      <c r="E156" s="3"/>
      <c r="F156" s="3"/>
      <c r="G156" s="3" t="s">
        <v>147</v>
      </c>
      <c r="H156" s="3"/>
    </row>
    <row r="157" spans="1:8">
      <c r="A157" s="8"/>
      <c r="B157" s="3"/>
      <c r="C157" s="3"/>
      <c r="D157" s="4"/>
      <c r="E157" s="3"/>
      <c r="F157" s="3"/>
      <c r="G157" s="3" t="s">
        <v>147</v>
      </c>
      <c r="H157" s="3"/>
    </row>
    <row r="158" spans="1:8">
      <c r="A158" s="8"/>
      <c r="B158" s="3"/>
      <c r="C158" s="3"/>
      <c r="D158" s="4"/>
      <c r="E158" s="3"/>
      <c r="F158" s="3"/>
      <c r="G158" s="3" t="s">
        <v>147</v>
      </c>
      <c r="H158" s="3"/>
    </row>
    <row r="159" spans="1:8">
      <c r="A159" s="8"/>
      <c r="B159" s="3"/>
      <c r="C159" s="3"/>
      <c r="D159" s="4"/>
      <c r="E159" s="3"/>
      <c r="F159" s="3"/>
      <c r="G159" s="3" t="s">
        <v>147</v>
      </c>
      <c r="H159" s="3"/>
    </row>
    <row r="160" spans="1:8">
      <c r="A160" s="8"/>
      <c r="B160" s="3"/>
      <c r="C160" s="3"/>
      <c r="D160" s="4"/>
      <c r="E160" s="3"/>
      <c r="F160" s="3"/>
      <c r="G160" s="3" t="s">
        <v>147</v>
      </c>
      <c r="H160" s="3"/>
    </row>
    <row r="161" spans="1:8">
      <c r="A161" s="8"/>
      <c r="B161" s="3"/>
      <c r="C161" s="3"/>
      <c r="D161" s="4"/>
      <c r="E161" s="3"/>
      <c r="F161" s="3"/>
      <c r="G161" s="3" t="s">
        <v>147</v>
      </c>
      <c r="H161" s="3"/>
    </row>
    <row r="162" spans="1:8">
      <c r="A162" s="8"/>
      <c r="B162" s="3"/>
      <c r="C162" s="3"/>
      <c r="D162" s="4"/>
      <c r="E162" s="3"/>
      <c r="F162" s="3"/>
      <c r="G162" s="3" t="s">
        <v>147</v>
      </c>
      <c r="H162" s="3"/>
    </row>
    <row r="163" spans="1:8">
      <c r="A163" s="8"/>
      <c r="B163" s="3"/>
      <c r="C163" s="3"/>
      <c r="D163" s="4"/>
      <c r="E163" s="3"/>
      <c r="F163" s="3"/>
      <c r="G163" s="3" t="s">
        <v>147</v>
      </c>
      <c r="H163" s="3"/>
    </row>
    <row r="164" spans="1:8">
      <c r="A164" s="8"/>
      <c r="B164" s="3"/>
      <c r="C164" s="3"/>
      <c r="D164" s="4"/>
      <c r="E164" s="3"/>
      <c r="F164" s="3"/>
      <c r="G164" s="3" t="s">
        <v>147</v>
      </c>
      <c r="H164" s="3"/>
    </row>
    <row r="165" spans="1:8">
      <c r="A165" s="8"/>
      <c r="B165" s="3"/>
      <c r="C165" s="3"/>
      <c r="D165" s="4"/>
      <c r="E165" s="3"/>
      <c r="F165" s="3"/>
      <c r="G165" s="3" t="s">
        <v>147</v>
      </c>
      <c r="H165" s="3"/>
    </row>
    <row r="166" spans="1:8">
      <c r="A166" s="8"/>
      <c r="B166" s="3"/>
      <c r="C166" s="3"/>
      <c r="D166" s="4"/>
      <c r="E166" s="3"/>
      <c r="F166" s="3"/>
      <c r="G166" s="3" t="s">
        <v>147</v>
      </c>
      <c r="H166" s="3"/>
    </row>
    <row r="167" spans="1:8">
      <c r="A167" s="8"/>
      <c r="B167" s="3"/>
      <c r="C167" s="3"/>
      <c r="D167" s="4"/>
      <c r="E167" s="3"/>
      <c r="F167" s="3"/>
      <c r="G167" s="3" t="s">
        <v>147</v>
      </c>
      <c r="H167" s="3"/>
    </row>
    <row r="168" spans="1:8">
      <c r="A168" s="8"/>
      <c r="B168" s="3"/>
      <c r="C168" s="3"/>
      <c r="D168" s="4"/>
      <c r="E168" s="3"/>
      <c r="F168" s="3"/>
      <c r="G168" s="3" t="s">
        <v>147</v>
      </c>
      <c r="H168" s="3"/>
    </row>
    <row r="169" spans="1:8">
      <c r="A169" s="8"/>
      <c r="B169" s="3"/>
      <c r="C169" s="3"/>
      <c r="D169" s="4"/>
      <c r="E169" s="3"/>
      <c r="F169" s="3"/>
      <c r="G169" s="3" t="s">
        <v>147</v>
      </c>
      <c r="H169" s="3"/>
    </row>
    <row r="170" spans="1:8">
      <c r="A170" s="8"/>
      <c r="B170" s="3"/>
      <c r="C170" s="3"/>
      <c r="D170" s="4"/>
      <c r="E170" s="3"/>
      <c r="F170" s="3"/>
      <c r="G170" s="3" t="s">
        <v>147</v>
      </c>
      <c r="H170" s="3"/>
    </row>
    <row r="171" spans="1:8">
      <c r="A171" s="8"/>
      <c r="B171" s="3"/>
      <c r="C171" s="3"/>
      <c r="D171" s="4"/>
      <c r="E171" s="3"/>
      <c r="F171" s="3"/>
      <c r="G171" s="3" t="s">
        <v>147</v>
      </c>
      <c r="H171" s="3"/>
    </row>
    <row r="172" spans="1:8">
      <c r="A172" s="8"/>
      <c r="B172" s="3"/>
      <c r="C172" s="3"/>
      <c r="D172" s="4"/>
      <c r="E172" s="3"/>
      <c r="F172" s="3"/>
      <c r="G172" s="3" t="s">
        <v>147</v>
      </c>
      <c r="H172" s="3"/>
    </row>
    <row r="173" spans="1:8">
      <c r="A173" s="8"/>
      <c r="B173" s="3"/>
      <c r="C173" s="3"/>
      <c r="D173" s="4"/>
      <c r="E173" s="3"/>
      <c r="F173" s="3"/>
      <c r="G173" s="3" t="s">
        <v>147</v>
      </c>
      <c r="H173" s="3"/>
    </row>
    <row r="174" spans="1:8">
      <c r="A174" s="8"/>
      <c r="B174" s="3"/>
      <c r="C174" s="3"/>
      <c r="D174" s="4"/>
      <c r="E174" s="3"/>
      <c r="F174" s="3"/>
      <c r="G174" s="3" t="s">
        <v>147</v>
      </c>
      <c r="H174" s="3"/>
    </row>
    <row r="175" spans="1:8">
      <c r="A175" s="8"/>
      <c r="B175" s="3"/>
      <c r="C175" s="3"/>
      <c r="D175" s="4"/>
      <c r="E175" s="3"/>
      <c r="F175" s="3"/>
      <c r="G175" s="3" t="s">
        <v>147</v>
      </c>
      <c r="H175" s="3"/>
    </row>
    <row r="176" spans="1:8">
      <c r="A176" s="8"/>
      <c r="B176" s="3"/>
      <c r="C176" s="3"/>
      <c r="D176" s="4"/>
      <c r="E176" s="3"/>
      <c r="F176" s="3"/>
      <c r="G176" s="3" t="s">
        <v>147</v>
      </c>
      <c r="H176" s="3"/>
    </row>
    <row r="177" spans="1:8">
      <c r="A177" s="8"/>
      <c r="B177" s="3"/>
      <c r="C177" s="3"/>
      <c r="D177" s="4"/>
      <c r="E177" s="3"/>
      <c r="F177" s="3"/>
      <c r="G177" s="3" t="s">
        <v>147</v>
      </c>
      <c r="H177" s="3"/>
    </row>
    <row r="178" spans="1:8">
      <c r="A178" s="8"/>
      <c r="B178" s="3"/>
      <c r="C178" s="3"/>
      <c r="D178" s="4"/>
      <c r="E178" s="3"/>
      <c r="F178" s="3"/>
      <c r="G178" s="3" t="s">
        <v>147</v>
      </c>
      <c r="H178" s="3"/>
    </row>
    <row r="179" spans="1:8">
      <c r="A179" s="8"/>
      <c r="B179" s="3"/>
      <c r="C179" s="3"/>
      <c r="D179" s="4"/>
      <c r="E179" s="3"/>
      <c r="F179" s="3"/>
      <c r="G179" s="3" t="s">
        <v>147</v>
      </c>
      <c r="H179" s="3"/>
    </row>
    <row r="180" spans="1:8">
      <c r="A180" s="8"/>
      <c r="B180" s="3"/>
      <c r="C180" s="3"/>
      <c r="D180" s="4"/>
      <c r="E180" s="3"/>
      <c r="F180" s="3"/>
      <c r="G180" s="3" t="s">
        <v>147</v>
      </c>
      <c r="H180" s="3"/>
    </row>
    <row r="181" spans="1:8">
      <c r="A181" s="8"/>
      <c r="B181" s="3"/>
      <c r="C181" s="3"/>
      <c r="D181" s="4"/>
      <c r="E181" s="3"/>
      <c r="F181" s="3"/>
      <c r="G181" s="3" t="s">
        <v>147</v>
      </c>
      <c r="H181" s="3"/>
    </row>
    <row r="182" spans="1:8">
      <c r="A182" s="8"/>
      <c r="B182" s="3"/>
      <c r="C182" s="3"/>
      <c r="D182" s="4"/>
      <c r="E182" s="3"/>
      <c r="F182" s="3"/>
      <c r="G182" s="3" t="s">
        <v>147</v>
      </c>
      <c r="H182" s="3"/>
    </row>
    <row r="183" spans="1:8">
      <c r="A183" s="8"/>
      <c r="B183" s="3"/>
      <c r="C183" s="3"/>
      <c r="D183" s="4"/>
      <c r="E183" s="3"/>
      <c r="F183" s="3"/>
      <c r="G183" s="3" t="s">
        <v>147</v>
      </c>
      <c r="H183" s="3"/>
    </row>
    <row r="184" spans="1:8">
      <c r="A184" s="8"/>
      <c r="B184" s="3"/>
      <c r="C184" s="3"/>
      <c r="D184" s="4"/>
      <c r="E184" s="3"/>
      <c r="F184" s="3"/>
      <c r="G184" s="3" t="s">
        <v>147</v>
      </c>
      <c r="H184" s="3"/>
    </row>
    <row r="185" spans="1:8">
      <c r="A185" s="8"/>
      <c r="B185" s="3"/>
      <c r="C185" s="3"/>
      <c r="D185" s="4"/>
      <c r="E185" s="3"/>
      <c r="F185" s="3"/>
      <c r="G185" s="3" t="s">
        <v>147</v>
      </c>
      <c r="H185" s="3"/>
    </row>
    <row r="186" spans="1:8">
      <c r="A186" s="8"/>
      <c r="B186" s="3"/>
      <c r="C186" s="3"/>
      <c r="D186" s="4"/>
      <c r="E186" s="3"/>
      <c r="F186" s="3"/>
      <c r="G186" s="3" t="s">
        <v>147</v>
      </c>
      <c r="H186" s="3"/>
    </row>
    <row r="187" spans="1:8">
      <c r="A187" s="8"/>
      <c r="B187" s="3"/>
      <c r="C187" s="3"/>
      <c r="D187" s="4"/>
      <c r="E187" s="3"/>
      <c r="F187" s="3"/>
      <c r="G187" s="3" t="s">
        <v>147</v>
      </c>
      <c r="H187" s="3"/>
    </row>
    <row r="188" spans="1:8">
      <c r="A188" s="8"/>
      <c r="B188" s="3"/>
      <c r="C188" s="3"/>
      <c r="D188" s="4"/>
      <c r="E188" s="3"/>
      <c r="F188" s="3"/>
      <c r="G188" s="3" t="s">
        <v>147</v>
      </c>
      <c r="H188" s="3"/>
    </row>
    <row r="189" spans="1:8">
      <c r="A189" s="8"/>
      <c r="B189" s="3"/>
      <c r="C189" s="3"/>
      <c r="D189" s="4"/>
      <c r="E189" s="3"/>
      <c r="F189" s="3"/>
      <c r="G189" s="3" t="s">
        <v>147</v>
      </c>
      <c r="H189" s="3"/>
    </row>
    <row r="190" spans="1:8">
      <c r="A190" s="8"/>
      <c r="B190" s="3"/>
      <c r="C190" s="3"/>
      <c r="D190" s="4"/>
      <c r="E190" s="3"/>
      <c r="F190" s="3"/>
      <c r="G190" s="3" t="s">
        <v>147</v>
      </c>
      <c r="H190" s="3"/>
    </row>
    <row r="191" spans="1:8">
      <c r="A191" s="8"/>
      <c r="B191" s="3"/>
      <c r="C191" s="3"/>
      <c r="D191" s="4"/>
      <c r="E191" s="3"/>
      <c r="F191" s="3"/>
      <c r="G191" s="3" t="s">
        <v>147</v>
      </c>
      <c r="H191" s="3"/>
    </row>
    <row r="192" spans="1:8">
      <c r="A192" s="8"/>
      <c r="B192" s="3"/>
      <c r="C192" s="3"/>
      <c r="D192" s="4"/>
      <c r="E192" s="3"/>
      <c r="F192" s="3"/>
      <c r="G192" s="3" t="s">
        <v>147</v>
      </c>
      <c r="H192" s="3"/>
    </row>
    <row r="193" spans="1:8">
      <c r="A193" s="8"/>
      <c r="B193" s="3"/>
      <c r="C193" s="3"/>
      <c r="D193" s="4"/>
      <c r="E193" s="3"/>
      <c r="F193" s="3"/>
      <c r="G193" s="3" t="s">
        <v>147</v>
      </c>
      <c r="H193" s="3"/>
    </row>
    <row r="194" spans="1:8">
      <c r="A194" s="8"/>
      <c r="B194" s="3"/>
      <c r="C194" s="3"/>
      <c r="D194" s="4"/>
      <c r="E194" s="3"/>
      <c r="F194" s="3"/>
      <c r="G194" s="3" t="s">
        <v>147</v>
      </c>
      <c r="H194" s="3"/>
    </row>
    <row r="195" spans="1:8">
      <c r="A195" s="8"/>
      <c r="B195" s="3"/>
      <c r="C195" s="3"/>
      <c r="D195" s="4"/>
      <c r="E195" s="3"/>
      <c r="F195" s="3"/>
      <c r="G195" s="3" t="s">
        <v>147</v>
      </c>
      <c r="H195" s="3"/>
    </row>
    <row r="196" spans="1:8">
      <c r="A196" s="8"/>
      <c r="B196" s="3"/>
      <c r="C196" s="3"/>
      <c r="D196" s="4"/>
      <c r="E196" s="3"/>
      <c r="F196" s="3"/>
      <c r="G196" s="3" t="s">
        <v>147</v>
      </c>
      <c r="H196" s="3"/>
    </row>
    <row r="197" spans="1:8">
      <c r="A197" s="8"/>
      <c r="B197" s="3"/>
      <c r="C197" s="3"/>
      <c r="D197" s="4"/>
      <c r="E197" s="3"/>
      <c r="F197" s="3"/>
      <c r="G197" s="3" t="s">
        <v>147</v>
      </c>
      <c r="H197" s="3"/>
    </row>
    <row r="198" spans="1:8">
      <c r="A198" s="8"/>
      <c r="B198" s="3"/>
      <c r="C198" s="3"/>
      <c r="D198" s="4"/>
      <c r="E198" s="3"/>
      <c r="F198" s="3"/>
      <c r="G198" s="3" t="s">
        <v>147</v>
      </c>
      <c r="H198" s="3"/>
    </row>
    <row r="199" spans="1:8">
      <c r="A199" s="8"/>
      <c r="B199" s="3"/>
      <c r="C199" s="3"/>
      <c r="D199" s="4"/>
      <c r="E199" s="3"/>
      <c r="F199" s="3"/>
      <c r="G199" s="3" t="s">
        <v>147</v>
      </c>
      <c r="H199" s="3"/>
    </row>
    <row r="200" spans="1:8">
      <c r="A200" s="8"/>
      <c r="B200" s="3"/>
      <c r="C200" s="3"/>
      <c r="D200" s="4"/>
      <c r="E200" s="3"/>
      <c r="F200" s="3"/>
      <c r="G200" s="3" t="s">
        <v>147</v>
      </c>
      <c r="H200" s="3"/>
    </row>
    <row r="201" spans="1:8">
      <c r="A201" s="8"/>
      <c r="B201" s="3"/>
      <c r="C201" s="3"/>
      <c r="D201" s="4"/>
      <c r="E201" s="3"/>
      <c r="F201" s="3"/>
      <c r="G201" s="3" t="s">
        <v>147</v>
      </c>
      <c r="H201" s="3"/>
    </row>
    <row r="202" spans="1:8">
      <c r="A202" s="8"/>
      <c r="B202" s="3"/>
      <c r="C202" s="3"/>
      <c r="D202" s="4"/>
      <c r="E202" s="3"/>
      <c r="F202" s="3"/>
      <c r="G202" s="3" t="s">
        <v>147</v>
      </c>
      <c r="H202" s="3"/>
    </row>
    <row r="203" spans="1:8">
      <c r="A203" s="8"/>
      <c r="B203" s="3"/>
      <c r="C203" s="3"/>
      <c r="D203" s="4"/>
      <c r="E203" s="3"/>
      <c r="F203" s="3"/>
      <c r="G203" s="3" t="s">
        <v>147</v>
      </c>
      <c r="H203" s="3"/>
    </row>
  </sheetData>
  <mergeCells count="1">
    <mergeCell ref="A1:H1"/>
  </mergeCells>
  <conditionalFormatting sqref="G4:G203">
    <cfRule type="expression" dxfId="12" priority="1">
      <formula>G4="Sì"</formula>
    </cfRule>
    <cfRule type="expression" dxfId="11" priority="2">
      <formula>G4="No"</formula>
    </cfRule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25"/>
  <sheetViews>
    <sheetView topLeftCell="B12" zoomScale="185" workbookViewId="0">
      <selection sqref="A1:F1"/>
    </sheetView>
  </sheetViews>
  <sheetFormatPr baseColWidth="10" defaultColWidth="8.83203125" defaultRowHeight="15"/>
  <cols>
    <col min="1" max="1" width="24.6640625" style="1" customWidth="1"/>
    <col min="2" max="2" width="17.5" style="1" customWidth="1"/>
    <col min="3" max="3" width="13.6640625" style="1" customWidth="1"/>
    <col min="4" max="6" width="10" style="1" customWidth="1"/>
    <col min="7" max="7" width="8.83203125" style="1"/>
    <col min="8" max="8" width="24" style="1" customWidth="1"/>
    <col min="9" max="10" width="14" style="1" customWidth="1"/>
    <col min="11" max="11" width="28" style="1" customWidth="1"/>
    <col min="12" max="16384" width="8.83203125" style="1"/>
  </cols>
  <sheetData>
    <row r="1" spans="1:11" ht="49.75" customHeight="1">
      <c r="A1" s="30" t="s">
        <v>170</v>
      </c>
      <c r="B1" s="31"/>
      <c r="C1" s="31"/>
      <c r="D1" s="31"/>
      <c r="E1" s="31"/>
      <c r="F1" s="31"/>
    </row>
    <row r="3" spans="1:11" ht="42.75" customHeight="1">
      <c r="A3" s="36" t="s">
        <v>171</v>
      </c>
      <c r="B3" s="31"/>
      <c r="C3" s="31"/>
      <c r="D3" s="31"/>
      <c r="E3" s="31"/>
      <c r="F3" s="31"/>
      <c r="H3" s="36" t="s">
        <v>172</v>
      </c>
      <c r="I3" s="31"/>
      <c r="J3" s="31"/>
      <c r="K3" s="31"/>
    </row>
    <row r="4" spans="1:11" ht="16">
      <c r="A4" s="6" t="s">
        <v>173</v>
      </c>
      <c r="B4" s="5">
        <f>Parametri!B4</f>
        <v>15</v>
      </c>
      <c r="C4" s="3" t="s">
        <v>73</v>
      </c>
      <c r="D4" s="3"/>
      <c r="E4" s="3"/>
      <c r="F4" s="3"/>
      <c r="H4" s="2" t="s">
        <v>165</v>
      </c>
      <c r="I4" s="2" t="s">
        <v>174</v>
      </c>
      <c r="J4" s="2" t="s">
        <v>175</v>
      </c>
      <c r="K4" s="2" t="s">
        <v>15</v>
      </c>
    </row>
    <row r="5" spans="1:11">
      <c r="A5" s="6" t="s">
        <v>176</v>
      </c>
      <c r="B5" s="4">
        <f>SUM(Persone_Quote!C4:C18)</f>
        <v>375</v>
      </c>
      <c r="C5" s="3" t="s">
        <v>36</v>
      </c>
      <c r="D5" s="3"/>
      <c r="E5" s="3"/>
      <c r="F5" s="3"/>
      <c r="H5" s="3" t="s">
        <v>177</v>
      </c>
      <c r="I5" s="4">
        <f>SUMIFS(Spese_Categoria!$D$4:$D$203,Spese_Categoria!$B$4:$B$203,H5,Spese_Categoria!$G$4:$G$203,"Sì")</f>
        <v>0</v>
      </c>
      <c r="J5" s="9">
        <f t="shared" ref="J5:J10" si="0">IF($I$11&gt;0,I5/$I$11,0)</f>
        <v>0</v>
      </c>
      <c r="K5" s="3"/>
    </row>
    <row r="6" spans="1:11">
      <c r="A6" s="6" t="s">
        <v>3</v>
      </c>
      <c r="B6" s="4">
        <f>SUM(Persone_Quote!D4:D18)</f>
        <v>375</v>
      </c>
      <c r="C6" s="3" t="s">
        <v>36</v>
      </c>
      <c r="D6" s="3"/>
      <c r="E6" s="3"/>
      <c r="F6" s="3"/>
      <c r="H6" s="3" t="s">
        <v>178</v>
      </c>
      <c r="I6" s="4">
        <f>SUMIFS(Spese_Categoria!$D$4:$D$203,Spese_Categoria!$B$4:$B$203,H6,Spese_Categoria!$G$4:$G$203,"Sì")</f>
        <v>0</v>
      </c>
      <c r="J6" s="9">
        <f t="shared" si="0"/>
        <v>0</v>
      </c>
      <c r="K6" s="3"/>
    </row>
    <row r="7" spans="1:11">
      <c r="A7" s="6" t="s">
        <v>179</v>
      </c>
      <c r="B7" s="4">
        <f>MAX(B5-B6,0)</f>
        <v>0</v>
      </c>
      <c r="C7" s="3" t="s">
        <v>36</v>
      </c>
      <c r="D7" s="3"/>
      <c r="E7" s="3"/>
      <c r="F7" s="3"/>
      <c r="H7" s="3" t="s">
        <v>180</v>
      </c>
      <c r="I7" s="4">
        <f>SUMIFS(Spese_Categoria!$D$4:$D$203,Spese_Categoria!$B$4:$B$203,H7,Spese_Categoria!$G$4:$G$203,"Sì")</f>
        <v>0</v>
      </c>
      <c r="J7" s="9">
        <f t="shared" si="0"/>
        <v>0</v>
      </c>
      <c r="K7" s="3"/>
    </row>
    <row r="8" spans="1:11">
      <c r="A8" s="6" t="s">
        <v>8</v>
      </c>
      <c r="B8" s="5">
        <f>COUNTIF(Persone_Quote!F4:F18,"Pagata")</f>
        <v>15</v>
      </c>
      <c r="C8" s="3" t="s">
        <v>73</v>
      </c>
      <c r="D8" s="3"/>
      <c r="E8" s="3"/>
      <c r="F8" s="3"/>
      <c r="H8" s="3" t="s">
        <v>181</v>
      </c>
      <c r="I8" s="4">
        <f>SUMIFS(Spese_Categoria!$D$4:$D$203,Spese_Categoria!$B$4:$B$203,H8,Spese_Categoria!$G$4:$G$203,"Sì")</f>
        <v>0</v>
      </c>
      <c r="J8" s="9">
        <f t="shared" si="0"/>
        <v>0</v>
      </c>
      <c r="K8" s="3"/>
    </row>
    <row r="9" spans="1:11">
      <c r="A9" s="6" t="s">
        <v>20</v>
      </c>
      <c r="B9" s="5">
        <f>SUM(Acquisti_Patch!D4:D203)</f>
        <v>200</v>
      </c>
      <c r="C9" s="3" t="s">
        <v>21</v>
      </c>
      <c r="D9" s="3"/>
      <c r="E9" s="3"/>
      <c r="F9" s="3"/>
      <c r="H9" s="3" t="s">
        <v>167</v>
      </c>
      <c r="I9" s="4">
        <f>SUMIFS(Spese_Categoria!$D$4:$D$203,Spese_Categoria!$B$4:$B$203,H9,Spese_Categoria!$G$4:$G$203,"Sì")</f>
        <v>80</v>
      </c>
      <c r="J9" s="9">
        <f t="shared" si="0"/>
        <v>1</v>
      </c>
      <c r="K9" s="3"/>
    </row>
    <row r="10" spans="1:11">
      <c r="A10" s="6" t="s">
        <v>26</v>
      </c>
      <c r="B10" s="4">
        <f>SUMIFS(Acquisti_Patch!F4:F203,Acquisti_Patch!H4:H203,"Pagato")+SUMIFS(Acquisti_Patch!F4:F203,Acquisti_Patch!H4:H203,"Parziale")</f>
        <v>540</v>
      </c>
      <c r="C10" s="3" t="s">
        <v>36</v>
      </c>
      <c r="D10" s="3"/>
      <c r="E10" s="3"/>
      <c r="F10" s="3"/>
      <c r="H10" s="3" t="s">
        <v>182</v>
      </c>
      <c r="I10" s="4">
        <f>SUMIFS(Spese_Categoria!$D$4:$D$203,Spese_Categoria!$B$4:$B$203,H10,Spese_Categoria!$G$4:$G$203,"Sì")</f>
        <v>0</v>
      </c>
      <c r="J10" s="9">
        <f t="shared" si="0"/>
        <v>0</v>
      </c>
      <c r="K10" s="3"/>
    </row>
    <row r="11" spans="1:11">
      <c r="A11" s="6" t="s">
        <v>24</v>
      </c>
      <c r="B11" s="5">
        <f>SUM(Vendite_Patch!D4:D303)</f>
        <v>80</v>
      </c>
      <c r="C11" s="3" t="s">
        <v>21</v>
      </c>
      <c r="D11" s="3"/>
      <c r="E11" s="3"/>
      <c r="F11" s="3"/>
      <c r="H11" s="6" t="s">
        <v>174</v>
      </c>
      <c r="I11" s="7">
        <f>SUM(I5:I10)</f>
        <v>80</v>
      </c>
      <c r="J11" s="3"/>
      <c r="K11" s="3"/>
    </row>
    <row r="12" spans="1:11">
      <c r="A12" s="6" t="s">
        <v>5</v>
      </c>
      <c r="B12" s="4">
        <f>SUMIFS(Vendite_Patch!F4:F303,Vendite_Patch!I4:I303,"Sì")</f>
        <v>663</v>
      </c>
      <c r="C12" s="3" t="s">
        <v>36</v>
      </c>
      <c r="D12" s="3"/>
      <c r="E12" s="3"/>
      <c r="F12" s="3"/>
    </row>
    <row r="13" spans="1:11">
      <c r="A13" s="6" t="s">
        <v>183</v>
      </c>
      <c r="B13" s="4">
        <f>SUMIFS(Vendite_Patch!H4:H303,Vendite_Patch!I4:I303,"Sì")</f>
        <v>522.60000000000014</v>
      </c>
      <c r="C13" s="3" t="s">
        <v>36</v>
      </c>
      <c r="D13" s="3"/>
      <c r="E13" s="3"/>
      <c r="F13" s="3"/>
    </row>
    <row r="14" spans="1:11">
      <c r="A14" s="6" t="s">
        <v>184</v>
      </c>
      <c r="B14" s="3">
        <f>B9-B11</f>
        <v>120</v>
      </c>
      <c r="C14" s="3" t="s">
        <v>21</v>
      </c>
      <c r="D14" s="3"/>
      <c r="E14" s="3"/>
      <c r="F14" s="3"/>
    </row>
    <row r="15" spans="1:11">
      <c r="A15" s="6" t="s">
        <v>185</v>
      </c>
      <c r="B15" s="4">
        <f>SUMIFS(Spese_Categoria!D4:D203,Spese_Categoria!G4:G203,"Sì")</f>
        <v>80</v>
      </c>
      <c r="C15" s="3" t="s">
        <v>36</v>
      </c>
      <c r="D15" s="3"/>
      <c r="E15" s="3"/>
      <c r="F15" s="3"/>
    </row>
    <row r="16" spans="1:11">
      <c r="A16" s="6" t="s">
        <v>33</v>
      </c>
      <c r="B16" s="4">
        <f>B6+B12+SUM(Persone_Quote!J4:J18)-B10-B15</f>
        <v>418</v>
      </c>
      <c r="C16" s="3" t="s">
        <v>36</v>
      </c>
      <c r="D16" s="3"/>
      <c r="E16" s="3"/>
      <c r="F16" s="3"/>
    </row>
    <row r="17" spans="1:6">
      <c r="A17" s="6" t="s">
        <v>38</v>
      </c>
      <c r="B17" s="4">
        <f>SUMIFS(Vendite_Patch!$F$4:$F$303,Vendite_Patch!$I$4:$I$303,"Sì",Vendite_Patch!$E$4:$E$303,Parametri!$B$7)</f>
        <v>395</v>
      </c>
      <c r="C17" s="3" t="s">
        <v>36</v>
      </c>
    </row>
    <row r="18" spans="1:6">
      <c r="A18" s="6" t="s">
        <v>42</v>
      </c>
      <c r="B18" s="4">
        <f>SUMIFS(Vendite_Patch!$F$4:$F$303,Vendite_Patch!$I$4:$I$303,"Sì",Vendite_Patch!$E$4:$E$303,Parametri!$B$8)</f>
        <v>168</v>
      </c>
      <c r="C18" s="3" t="s">
        <v>36</v>
      </c>
    </row>
    <row r="19" spans="1:6" ht="39" customHeight="1">
      <c r="A19" s="36" t="s">
        <v>186</v>
      </c>
      <c r="B19" s="31"/>
      <c r="C19" s="31"/>
      <c r="D19" s="31"/>
      <c r="E19" s="31"/>
      <c r="F19" s="31"/>
    </row>
    <row r="20" spans="1:6">
      <c r="A20" s="3" t="s">
        <v>187</v>
      </c>
      <c r="B20" s="3" t="str">
        <f>IF(B14&lt;0,"Sì: vendute più patch di quelle acquistate","No")</f>
        <v>No</v>
      </c>
      <c r="C20" s="3"/>
      <c r="D20" s="3"/>
      <c r="E20" s="3"/>
      <c r="F20" s="3"/>
    </row>
    <row r="21" spans="1:6" ht="60">
      <c r="A21" s="3" t="s">
        <v>188</v>
      </c>
      <c r="B21" s="3">
        <f>IF(Parametri!B7&gt;0,ROUNDUP(B10/Parametri!B7,0),0)</f>
        <v>36</v>
      </c>
      <c r="C21" s="3" t="s">
        <v>189</v>
      </c>
      <c r="D21" s="3"/>
      <c r="E21" s="3"/>
      <c r="F21" s="3"/>
    </row>
    <row r="22" spans="1:6">
      <c r="A22" s="3" t="s">
        <v>83</v>
      </c>
      <c r="B22" s="4">
        <f>Parametri!B9</f>
        <v>12.3</v>
      </c>
      <c r="C22" s="3" t="s">
        <v>36</v>
      </c>
      <c r="D22" s="3"/>
      <c r="E22" s="3"/>
      <c r="F22" s="3"/>
    </row>
    <row r="23" spans="1:6" ht="30">
      <c r="A23" s="3" t="s">
        <v>190</v>
      </c>
      <c r="B23" s="10" t="str">
        <f>IF(Parametri!B11&gt;0,B16/Parametri!B11,"Inserisci costo mensile in Parametri")</f>
        <v>Inserisci costo mensile in Parametri</v>
      </c>
      <c r="C23" s="3"/>
      <c r="D23" s="3"/>
      <c r="E23" s="3"/>
      <c r="F23" s="3"/>
    </row>
    <row r="24" spans="1:6" ht="60">
      <c r="A24" s="3" t="s">
        <v>191</v>
      </c>
      <c r="B24" s="5">
        <f>IF(Parametri!B8&gt;0,ROUNDUP(B10/Parametri!B8,0),0)</f>
        <v>45</v>
      </c>
      <c r="C24" s="3" t="s">
        <v>192</v>
      </c>
    </row>
    <row r="25" spans="1:6">
      <c r="A25" s="3" t="s">
        <v>89</v>
      </c>
      <c r="B25" s="4">
        <f>Parametri!B12</f>
        <v>9.3000000000000007</v>
      </c>
      <c r="C25" s="3" t="s">
        <v>36</v>
      </c>
    </row>
  </sheetData>
  <mergeCells count="4">
    <mergeCell ref="A1:F1"/>
    <mergeCell ref="A3:F3"/>
    <mergeCell ref="A19:F19"/>
    <mergeCell ref="H3:K3"/>
  </mergeCells>
  <conditionalFormatting sqref="B14">
    <cfRule type="expression" dxfId="10" priority="5">
      <formula>B14&lt;0</formula>
    </cfRule>
  </conditionalFormatting>
  <conditionalFormatting sqref="B16">
    <cfRule type="expression" dxfId="9" priority="6">
      <formula>B16&lt;0</formula>
    </cfRule>
    <cfRule type="expression" dxfId="8" priority="7">
      <formula>B16&gt;=0</formula>
    </cfRule>
  </conditionalFormatting>
  <conditionalFormatting sqref="B18">
    <cfRule type="expression" dxfId="7" priority="1">
      <formula>B18&lt;0</formula>
    </cfRule>
    <cfRule type="expression" dxfId="6" priority="2">
      <formula>B18&gt;=0</formula>
    </cfRule>
  </conditionalFormatting>
  <conditionalFormatting sqref="B20">
    <cfRule type="expression" dxfId="5" priority="3">
      <formula>LEFT(B20,2)="Sì"</formula>
    </cfRule>
    <cfRule type="expression" dxfId="4" priority="4">
      <formula>B20="No"</formula>
    </cfRule>
  </conditionalFormatting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9"/>
  <sheetViews>
    <sheetView workbookViewId="0">
      <selection sqref="A1:D1"/>
    </sheetView>
  </sheetViews>
  <sheetFormatPr baseColWidth="10" defaultColWidth="8.83203125" defaultRowHeight="15"/>
  <cols>
    <col min="1" max="1" width="20" style="1" customWidth="1"/>
    <col min="2" max="2" width="18" style="1" customWidth="1"/>
    <col min="3" max="3" width="12" style="1" customWidth="1"/>
    <col min="4" max="4" width="24" style="1" customWidth="1"/>
    <col min="5" max="5" width="10.33203125" style="1" customWidth="1"/>
    <col min="6" max="16384" width="8.83203125" style="1"/>
  </cols>
  <sheetData>
    <row r="1" spans="1:5" ht="49.75" customHeight="1">
      <c r="A1" s="30" t="s">
        <v>193</v>
      </c>
      <c r="B1" s="31"/>
      <c r="C1" s="31"/>
      <c r="D1" s="31"/>
    </row>
    <row r="3" spans="1:5" ht="42.75" customHeight="1">
      <c r="A3" s="2" t="s">
        <v>194</v>
      </c>
      <c r="B3" s="2" t="s">
        <v>132</v>
      </c>
      <c r="C3" s="2" t="s">
        <v>195</v>
      </c>
      <c r="D3" s="2" t="s">
        <v>196</v>
      </c>
      <c r="E3" s="12" t="s">
        <v>197</v>
      </c>
    </row>
    <row r="4" spans="1:5" ht="26.75" customHeight="1">
      <c r="A4" s="3" t="s">
        <v>102</v>
      </c>
      <c r="B4" s="3" t="s">
        <v>137</v>
      </c>
      <c r="C4" s="3" t="s">
        <v>147</v>
      </c>
      <c r="D4" s="3" t="s">
        <v>177</v>
      </c>
      <c r="E4" s="11">
        <f>Parametri!$B$7</f>
        <v>15</v>
      </c>
    </row>
    <row r="5" spans="1:5" ht="26.75" customHeight="1">
      <c r="A5" s="3" t="s">
        <v>169</v>
      </c>
      <c r="B5" s="3" t="s">
        <v>198</v>
      </c>
      <c r="C5" s="3" t="s">
        <v>199</v>
      </c>
      <c r="D5" s="3" t="s">
        <v>178</v>
      </c>
      <c r="E5" s="11">
        <f>Parametri!$B$8</f>
        <v>12</v>
      </c>
    </row>
    <row r="6" spans="1:5" ht="26.75" customHeight="1">
      <c r="A6" s="3" t="s">
        <v>200</v>
      </c>
      <c r="B6" s="3" t="s">
        <v>135</v>
      </c>
      <c r="C6" s="3"/>
      <c r="D6" s="3" t="s">
        <v>180</v>
      </c>
    </row>
    <row r="7" spans="1:5" ht="26.75" customHeight="1">
      <c r="A7" s="3" t="s">
        <v>105</v>
      </c>
      <c r="B7" s="3"/>
      <c r="C7" s="3"/>
      <c r="D7" s="3" t="s">
        <v>181</v>
      </c>
    </row>
    <row r="8" spans="1:5" ht="26.75" customHeight="1">
      <c r="A8" s="3" t="s">
        <v>150</v>
      </c>
      <c r="B8" s="3"/>
      <c r="C8" s="3"/>
      <c r="D8" s="3" t="s">
        <v>167</v>
      </c>
    </row>
    <row r="9" spans="1:5" ht="26.75" customHeight="1">
      <c r="A9" s="3" t="s">
        <v>182</v>
      </c>
      <c r="B9" s="3"/>
      <c r="C9" s="3"/>
      <c r="D9" s="3" t="s">
        <v>182</v>
      </c>
    </row>
  </sheetData>
  <mergeCells count="1">
    <mergeCell ref="A1:D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203"/>
  <sheetViews>
    <sheetView showGridLines="0" zoomScale="140" workbookViewId="0">
      <selection activeCell="B6" sqref="B6"/>
    </sheetView>
  </sheetViews>
  <sheetFormatPr baseColWidth="10" defaultColWidth="8.83203125" defaultRowHeight="14"/>
  <cols>
    <col min="1" max="1" width="15" customWidth="1"/>
    <col min="2" max="2" width="20" customWidth="1"/>
    <col min="3" max="5" width="15" customWidth="1"/>
    <col min="6" max="6" width="17" customWidth="1"/>
    <col min="7" max="8" width="15" customWidth="1"/>
    <col min="9" max="9" width="17" customWidth="1"/>
    <col min="10" max="10" width="28" customWidth="1"/>
  </cols>
  <sheetData>
    <row r="1" spans="1:10" ht="26" customHeight="1">
      <c r="A1" s="38" t="s">
        <v>207</v>
      </c>
      <c r="B1" s="38"/>
      <c r="C1" s="38"/>
      <c r="D1" s="38"/>
      <c r="E1" s="38"/>
      <c r="F1" s="38"/>
      <c r="G1" s="38"/>
      <c r="H1" s="38"/>
      <c r="I1" s="38"/>
      <c r="J1" s="38"/>
    </row>
    <row r="2" spans="1:10" ht="34" customHeight="1">
      <c r="A2" s="39" t="s">
        <v>208</v>
      </c>
      <c r="B2" s="39"/>
      <c r="C2" s="39"/>
      <c r="D2" s="39"/>
      <c r="E2" s="39"/>
      <c r="F2" s="39"/>
      <c r="G2" s="39"/>
      <c r="H2" s="39"/>
      <c r="I2" s="39"/>
      <c r="J2" s="39"/>
    </row>
    <row r="3" spans="1:10" ht="38" customHeight="1">
      <c r="A3" s="15" t="s">
        <v>209</v>
      </c>
      <c r="B3" s="15" t="s">
        <v>206</v>
      </c>
      <c r="C3" s="15" t="s">
        <v>210</v>
      </c>
      <c r="D3" s="15" t="s">
        <v>211</v>
      </c>
      <c r="E3" s="15" t="s">
        <v>212</v>
      </c>
      <c r="F3" s="15" t="s">
        <v>213</v>
      </c>
      <c r="G3" s="15" t="s">
        <v>214</v>
      </c>
      <c r="H3" s="15" t="s">
        <v>215</v>
      </c>
      <c r="I3" s="15" t="s">
        <v>216</v>
      </c>
      <c r="J3" s="15" t="s">
        <v>217</v>
      </c>
    </row>
    <row r="4" spans="1:10" ht="22" customHeight="1">
      <c r="A4" s="14" t="s">
        <v>224</v>
      </c>
      <c r="B4" s="16" t="s">
        <v>157</v>
      </c>
      <c r="C4" s="22">
        <v>10</v>
      </c>
      <c r="D4" s="22">
        <f>IF(B4="","",SUMIFS(Vendite_Patch!$D$4:$D$303,Vendite_Patch!$L$4:$L$303,B4))</f>
        <v>10</v>
      </c>
      <c r="E4" s="22"/>
      <c r="F4" s="22">
        <f t="shared" ref="F4:F35" si="0">IF(B4="","",MAX(C4-D4-E4,0))</f>
        <v>0</v>
      </c>
      <c r="G4" s="25">
        <f>IF(B4="","",SUMIFS(Vendite_Patch!$F$4:$F$303,Vendite_Patch!$L$4:$L$303,B4,Vendite_Patch!$I$4:$I$303,"Sì"))</f>
        <v>150</v>
      </c>
      <c r="H4" s="25">
        <v>150</v>
      </c>
      <c r="I4" s="25">
        <f t="shared" ref="I4:I35" si="1">IF(B4="","",MAX(G4-H4,0))</f>
        <v>0</v>
      </c>
      <c r="J4" s="17" t="s">
        <v>225</v>
      </c>
    </row>
    <row r="5" spans="1:10" ht="22" customHeight="1">
      <c r="A5" s="14" t="s">
        <v>224</v>
      </c>
      <c r="B5" s="18" t="s">
        <v>133</v>
      </c>
      <c r="C5" s="23">
        <v>10</v>
      </c>
      <c r="D5" s="23">
        <f>IF(B5="","",SUMIFS(Vendite_Patch!$D$4:$D$303,Vendite_Patch!$L$4:$L$303,B5))</f>
        <v>10</v>
      </c>
      <c r="E5" s="23"/>
      <c r="F5" s="23">
        <f t="shared" si="0"/>
        <v>0</v>
      </c>
      <c r="G5" s="26">
        <f>IF(B5="","",SUMIFS(Vendite_Patch!$F$4:$F$303,Vendite_Patch!$L$4:$L$303,B5,Vendite_Patch!$I$4:$I$303,"Sì"))</f>
        <v>150</v>
      </c>
      <c r="H5" s="26">
        <v>150</v>
      </c>
      <c r="I5" s="26">
        <f t="shared" si="1"/>
        <v>0</v>
      </c>
      <c r="J5" s="19"/>
    </row>
    <row r="6" spans="1:10" ht="22" customHeight="1">
      <c r="A6" s="14"/>
      <c r="B6" s="18"/>
      <c r="C6" s="23"/>
      <c r="D6" s="23" t="str">
        <f>IF(B6="","",SUMIFS(Vendite_Patch!$D$4:$D$303,Vendite_Patch!$L$4:$L$303,B6))</f>
        <v/>
      </c>
      <c r="E6" s="23"/>
      <c r="F6" s="23" t="str">
        <f t="shared" si="0"/>
        <v/>
      </c>
      <c r="G6" s="26" t="str">
        <f>IF(B6="","",SUMIFS(Vendite_Patch!$F$4:$F$303,Vendite_Patch!$L$4:$L$303,B6,Vendite_Patch!$I$4:$I$303,"Sì"))</f>
        <v/>
      </c>
      <c r="H6" s="26"/>
      <c r="I6" s="26" t="str">
        <f t="shared" si="1"/>
        <v/>
      </c>
      <c r="J6" s="19"/>
    </row>
    <row r="7" spans="1:10" ht="22" customHeight="1">
      <c r="A7" s="14"/>
      <c r="B7" s="18"/>
      <c r="C7" s="23"/>
      <c r="D7" s="23" t="str">
        <f>IF(B7="","",SUMIFS(Vendite_Patch!$D$4:$D$303,Vendite_Patch!$L$4:$L$303,B7))</f>
        <v/>
      </c>
      <c r="E7" s="23"/>
      <c r="F7" s="23" t="str">
        <f t="shared" si="0"/>
        <v/>
      </c>
      <c r="G7" s="26" t="str">
        <f>IF(B7="","",SUMIFS(Vendite_Patch!$F$4:$F$303,Vendite_Patch!$L$4:$L$303,B7,Vendite_Patch!$I$4:$I$303,"Sì"))</f>
        <v/>
      </c>
      <c r="H7" s="26"/>
      <c r="I7" s="26" t="str">
        <f t="shared" si="1"/>
        <v/>
      </c>
      <c r="J7" s="19"/>
    </row>
    <row r="8" spans="1:10" ht="22" customHeight="1">
      <c r="A8" s="14"/>
      <c r="B8" s="18"/>
      <c r="C8" s="23"/>
      <c r="D8" s="23" t="str">
        <f>IF(B8="","",SUMIFS(Vendite_Patch!$D$4:$D$303,Vendite_Patch!$L$4:$L$303,B8))</f>
        <v/>
      </c>
      <c r="E8" s="23"/>
      <c r="F8" s="23" t="str">
        <f t="shared" si="0"/>
        <v/>
      </c>
      <c r="G8" s="26" t="str">
        <f>IF(B8="","",SUMIFS(Vendite_Patch!$F$4:$F$303,Vendite_Patch!$L$4:$L$303,B8,Vendite_Patch!$I$4:$I$303,"Sì"))</f>
        <v/>
      </c>
      <c r="H8" s="26"/>
      <c r="I8" s="26" t="str">
        <f t="shared" si="1"/>
        <v/>
      </c>
      <c r="J8" s="19"/>
    </row>
    <row r="9" spans="1:10" ht="22" customHeight="1">
      <c r="A9" s="14"/>
      <c r="B9" s="18"/>
      <c r="C9" s="23"/>
      <c r="D9" s="23" t="str">
        <f>IF(B9="","",SUMIFS(Vendite_Patch!$D$4:$D$303,Vendite_Patch!$L$4:$L$303,B9))</f>
        <v/>
      </c>
      <c r="E9" s="23"/>
      <c r="F9" s="23" t="str">
        <f t="shared" si="0"/>
        <v/>
      </c>
      <c r="G9" s="26" t="str">
        <f>IF(B9="","",SUMIFS(Vendite_Patch!$F$4:$F$303,Vendite_Patch!$L$4:$L$303,B9,Vendite_Patch!$I$4:$I$303,"Sì"))</f>
        <v/>
      </c>
      <c r="H9" s="26"/>
      <c r="I9" s="26" t="str">
        <f t="shared" si="1"/>
        <v/>
      </c>
      <c r="J9" s="19"/>
    </row>
    <row r="10" spans="1:10" ht="22" customHeight="1">
      <c r="A10" s="14"/>
      <c r="B10" s="18"/>
      <c r="C10" s="23"/>
      <c r="D10" s="23" t="str">
        <f>IF(B10="","",SUMIFS(Vendite_Patch!$D$4:$D$303,Vendite_Patch!$L$4:$L$303,B10))</f>
        <v/>
      </c>
      <c r="E10" s="23"/>
      <c r="F10" s="23" t="str">
        <f t="shared" si="0"/>
        <v/>
      </c>
      <c r="G10" s="26" t="str">
        <f>IF(B10="","",SUMIFS(Vendite_Patch!$F$4:$F$303,Vendite_Patch!$L$4:$L$303,B10,Vendite_Patch!$I$4:$I$303,"Sì"))</f>
        <v/>
      </c>
      <c r="H10" s="26"/>
      <c r="I10" s="26" t="str">
        <f t="shared" si="1"/>
        <v/>
      </c>
      <c r="J10" s="19"/>
    </row>
    <row r="11" spans="1:10" ht="22" customHeight="1">
      <c r="A11" s="14"/>
      <c r="B11" s="18"/>
      <c r="C11" s="23"/>
      <c r="D11" s="23" t="str">
        <f>IF(B11="","",SUMIFS(Vendite_Patch!$D$4:$D$303,Vendite_Patch!$L$4:$L$303,B11))</f>
        <v/>
      </c>
      <c r="E11" s="23"/>
      <c r="F11" s="23" t="str">
        <f t="shared" si="0"/>
        <v/>
      </c>
      <c r="G11" s="26" t="str">
        <f>IF(B11="","",SUMIFS(Vendite_Patch!$F$4:$F$303,Vendite_Patch!$L$4:$L$303,B11,Vendite_Patch!$I$4:$I$303,"Sì"))</f>
        <v/>
      </c>
      <c r="H11" s="26"/>
      <c r="I11" s="26" t="str">
        <f t="shared" si="1"/>
        <v/>
      </c>
      <c r="J11" s="19"/>
    </row>
    <row r="12" spans="1:10" ht="22" customHeight="1">
      <c r="A12" s="14"/>
      <c r="B12" s="18"/>
      <c r="C12" s="23"/>
      <c r="D12" s="23" t="str">
        <f>IF(B12="","",SUMIFS(Vendite_Patch!$D$4:$D$303,Vendite_Patch!$L$4:$L$303,B12))</f>
        <v/>
      </c>
      <c r="E12" s="23"/>
      <c r="F12" s="23" t="str">
        <f t="shared" si="0"/>
        <v/>
      </c>
      <c r="G12" s="26" t="str">
        <f>IF(B12="","",SUMIFS(Vendite_Patch!$F$4:$F$303,Vendite_Patch!$L$4:$L$303,B12,Vendite_Patch!$I$4:$I$303,"Sì"))</f>
        <v/>
      </c>
      <c r="H12" s="26"/>
      <c r="I12" s="26" t="str">
        <f t="shared" si="1"/>
        <v/>
      </c>
      <c r="J12" s="19"/>
    </row>
    <row r="13" spans="1:10" ht="22" customHeight="1">
      <c r="A13" s="14"/>
      <c r="B13" s="18"/>
      <c r="C13" s="23"/>
      <c r="D13" s="23" t="str">
        <f>IF(B13="","",SUMIFS(Vendite_Patch!$D$4:$D$303,Vendite_Patch!$L$4:$L$303,B13))</f>
        <v/>
      </c>
      <c r="E13" s="23"/>
      <c r="F13" s="23" t="str">
        <f t="shared" si="0"/>
        <v/>
      </c>
      <c r="G13" s="26" t="str">
        <f>IF(B13="","",SUMIFS(Vendite_Patch!$F$4:$F$303,Vendite_Patch!$L$4:$L$303,B13,Vendite_Patch!$I$4:$I$303,"Sì"))</f>
        <v/>
      </c>
      <c r="H13" s="26"/>
      <c r="I13" s="26" t="str">
        <f t="shared" si="1"/>
        <v/>
      </c>
      <c r="J13" s="19"/>
    </row>
    <row r="14" spans="1:10" ht="22" customHeight="1">
      <c r="A14" s="14"/>
      <c r="B14" s="18"/>
      <c r="C14" s="23"/>
      <c r="D14" s="23" t="str">
        <f>IF(B14="","",SUMIFS(Vendite_Patch!$D$4:$D$303,Vendite_Patch!$L$4:$L$303,B14))</f>
        <v/>
      </c>
      <c r="E14" s="23"/>
      <c r="F14" s="23" t="str">
        <f t="shared" si="0"/>
        <v/>
      </c>
      <c r="G14" s="26" t="str">
        <f>IF(B14="","",SUMIFS(Vendite_Patch!$F$4:$F$303,Vendite_Patch!$L$4:$L$303,B14,Vendite_Patch!$I$4:$I$303,"Sì"))</f>
        <v/>
      </c>
      <c r="H14" s="26"/>
      <c r="I14" s="26" t="str">
        <f t="shared" si="1"/>
        <v/>
      </c>
      <c r="J14" s="19"/>
    </row>
    <row r="15" spans="1:10" ht="22" customHeight="1">
      <c r="A15" s="14"/>
      <c r="B15" s="18"/>
      <c r="C15" s="23"/>
      <c r="D15" s="23" t="str">
        <f>IF(B15="","",SUMIFS(Vendite_Patch!$D$4:$D$303,Vendite_Patch!$L$4:$L$303,B15))</f>
        <v/>
      </c>
      <c r="E15" s="23"/>
      <c r="F15" s="23" t="str">
        <f t="shared" si="0"/>
        <v/>
      </c>
      <c r="G15" s="26" t="str">
        <f>IF(B15="","",SUMIFS(Vendite_Patch!$F$4:$F$303,Vendite_Patch!$L$4:$L$303,B15,Vendite_Patch!$I$4:$I$303,"Sì"))</f>
        <v/>
      </c>
      <c r="H15" s="26"/>
      <c r="I15" s="26" t="str">
        <f t="shared" si="1"/>
        <v/>
      </c>
      <c r="J15" s="19"/>
    </row>
    <row r="16" spans="1:10" ht="22" customHeight="1">
      <c r="A16" s="14"/>
      <c r="B16" s="18"/>
      <c r="C16" s="23"/>
      <c r="D16" s="23" t="str">
        <f>IF(B16="","",SUMIFS(Vendite_Patch!$D$4:$D$303,Vendite_Patch!$L$4:$L$303,B16))</f>
        <v/>
      </c>
      <c r="E16" s="23"/>
      <c r="F16" s="23" t="str">
        <f t="shared" si="0"/>
        <v/>
      </c>
      <c r="G16" s="26" t="str">
        <f>IF(B16="","",SUMIFS(Vendite_Patch!$F$4:$F$303,Vendite_Patch!$L$4:$L$303,B16,Vendite_Patch!$I$4:$I$303,"Sì"))</f>
        <v/>
      </c>
      <c r="H16" s="26"/>
      <c r="I16" s="26" t="str">
        <f t="shared" si="1"/>
        <v/>
      </c>
      <c r="J16" s="19"/>
    </row>
    <row r="17" spans="1:10" ht="22" customHeight="1">
      <c r="A17" s="14"/>
      <c r="B17" s="18"/>
      <c r="C17" s="23"/>
      <c r="D17" s="23" t="str">
        <f>IF(B17="","",SUMIFS(Vendite_Patch!$D$4:$D$303,Vendite_Patch!$L$4:$L$303,B17))</f>
        <v/>
      </c>
      <c r="E17" s="23"/>
      <c r="F17" s="23" t="str">
        <f t="shared" si="0"/>
        <v/>
      </c>
      <c r="G17" s="26" t="str">
        <f>IF(B17="","",SUMIFS(Vendite_Patch!$F$4:$F$303,Vendite_Patch!$L$4:$L$303,B17,Vendite_Patch!$I$4:$I$303,"Sì"))</f>
        <v/>
      </c>
      <c r="H17" s="26"/>
      <c r="I17" s="26" t="str">
        <f t="shared" si="1"/>
        <v/>
      </c>
      <c r="J17" s="19"/>
    </row>
    <row r="18" spans="1:10" ht="22" customHeight="1">
      <c r="A18" s="14"/>
      <c r="B18" s="18"/>
      <c r="C18" s="23"/>
      <c r="D18" s="23" t="str">
        <f>IF(B18="","",SUMIFS(Vendite_Patch!$D$4:$D$303,Vendite_Patch!$L$4:$L$303,B18))</f>
        <v/>
      </c>
      <c r="E18" s="23"/>
      <c r="F18" s="23" t="str">
        <f t="shared" si="0"/>
        <v/>
      </c>
      <c r="G18" s="26" t="str">
        <f>IF(B18="","",SUMIFS(Vendite_Patch!$F$4:$F$303,Vendite_Patch!$L$4:$L$303,B18,Vendite_Patch!$I$4:$I$303,"Sì"))</f>
        <v/>
      </c>
      <c r="H18" s="26"/>
      <c r="I18" s="26" t="str">
        <f t="shared" si="1"/>
        <v/>
      </c>
      <c r="J18" s="19"/>
    </row>
    <row r="19" spans="1:10" ht="22" customHeight="1">
      <c r="A19" s="14"/>
      <c r="B19" s="18"/>
      <c r="C19" s="23"/>
      <c r="D19" s="23" t="str">
        <f>IF(B19="","",SUMIFS(Vendite_Patch!$D$4:$D$303,Vendite_Patch!$L$4:$L$303,B19))</f>
        <v/>
      </c>
      <c r="E19" s="23"/>
      <c r="F19" s="23" t="str">
        <f t="shared" si="0"/>
        <v/>
      </c>
      <c r="G19" s="26" t="str">
        <f>IF(B19="","",SUMIFS(Vendite_Patch!$F$4:$F$303,Vendite_Patch!$L$4:$L$303,B19,Vendite_Patch!$I$4:$I$303,"Sì"))</f>
        <v/>
      </c>
      <c r="H19" s="26"/>
      <c r="I19" s="26" t="str">
        <f t="shared" si="1"/>
        <v/>
      </c>
      <c r="J19" s="19"/>
    </row>
    <row r="20" spans="1:10" ht="22" customHeight="1">
      <c r="A20" s="14"/>
      <c r="B20" s="18"/>
      <c r="C20" s="23"/>
      <c r="D20" s="23" t="str">
        <f>IF(B20="","",SUMIFS(Vendite_Patch!$D$4:$D$303,Vendite_Patch!$L$4:$L$303,B20))</f>
        <v/>
      </c>
      <c r="E20" s="23"/>
      <c r="F20" s="23" t="str">
        <f t="shared" si="0"/>
        <v/>
      </c>
      <c r="G20" s="26" t="str">
        <f>IF(B20="","",SUMIFS(Vendite_Patch!$F$4:$F$303,Vendite_Patch!$L$4:$L$303,B20,Vendite_Patch!$I$4:$I$303,"Sì"))</f>
        <v/>
      </c>
      <c r="H20" s="26"/>
      <c r="I20" s="26" t="str">
        <f t="shared" si="1"/>
        <v/>
      </c>
      <c r="J20" s="19"/>
    </row>
    <row r="21" spans="1:10" ht="22" customHeight="1">
      <c r="A21" s="14"/>
      <c r="B21" s="18"/>
      <c r="C21" s="23"/>
      <c r="D21" s="23" t="str">
        <f>IF(B21="","",SUMIFS(Vendite_Patch!$D$4:$D$303,Vendite_Patch!$L$4:$L$303,B21))</f>
        <v/>
      </c>
      <c r="E21" s="23"/>
      <c r="F21" s="23" t="str">
        <f t="shared" si="0"/>
        <v/>
      </c>
      <c r="G21" s="26" t="str">
        <f>IF(B21="","",SUMIFS(Vendite_Patch!$F$4:$F$303,Vendite_Patch!$L$4:$L$303,B21,Vendite_Patch!$I$4:$I$303,"Sì"))</f>
        <v/>
      </c>
      <c r="H21" s="26"/>
      <c r="I21" s="26" t="str">
        <f t="shared" si="1"/>
        <v/>
      </c>
      <c r="J21" s="19"/>
    </row>
    <row r="22" spans="1:10" ht="22" customHeight="1">
      <c r="A22" s="14"/>
      <c r="B22" s="18"/>
      <c r="C22" s="23"/>
      <c r="D22" s="23" t="str">
        <f>IF(B22="","",SUMIFS(Vendite_Patch!$D$4:$D$303,Vendite_Patch!$L$4:$L$303,B22))</f>
        <v/>
      </c>
      <c r="E22" s="23"/>
      <c r="F22" s="23" t="str">
        <f t="shared" si="0"/>
        <v/>
      </c>
      <c r="G22" s="26" t="str">
        <f>IF(B22="","",SUMIFS(Vendite_Patch!$F$4:$F$303,Vendite_Patch!$L$4:$L$303,B22,Vendite_Patch!$I$4:$I$303,"Sì"))</f>
        <v/>
      </c>
      <c r="H22" s="26"/>
      <c r="I22" s="26" t="str">
        <f t="shared" si="1"/>
        <v/>
      </c>
      <c r="J22" s="19"/>
    </row>
    <row r="23" spans="1:10" ht="22" customHeight="1">
      <c r="A23" s="14"/>
      <c r="B23" s="18"/>
      <c r="C23" s="23"/>
      <c r="D23" s="23" t="str">
        <f>IF(B23="","",SUMIFS(Vendite_Patch!$D$4:$D$303,Vendite_Patch!$L$4:$L$303,B23))</f>
        <v/>
      </c>
      <c r="E23" s="23"/>
      <c r="F23" s="23" t="str">
        <f t="shared" si="0"/>
        <v/>
      </c>
      <c r="G23" s="26" t="str">
        <f>IF(B23="","",SUMIFS(Vendite_Patch!$F$4:$F$303,Vendite_Patch!$L$4:$L$303,B23,Vendite_Patch!$I$4:$I$303,"Sì"))</f>
        <v/>
      </c>
      <c r="H23" s="26"/>
      <c r="I23" s="26" t="str">
        <f t="shared" si="1"/>
        <v/>
      </c>
      <c r="J23" s="19"/>
    </row>
    <row r="24" spans="1:10" ht="22" customHeight="1">
      <c r="A24" s="14"/>
      <c r="B24" s="18"/>
      <c r="C24" s="23"/>
      <c r="D24" s="23" t="str">
        <f>IF(B24="","",SUMIFS(Vendite_Patch!$D$4:$D$303,Vendite_Patch!$L$4:$L$303,B24))</f>
        <v/>
      </c>
      <c r="E24" s="23"/>
      <c r="F24" s="23" t="str">
        <f t="shared" si="0"/>
        <v/>
      </c>
      <c r="G24" s="26" t="str">
        <f>IF(B24="","",SUMIFS(Vendite_Patch!$F$4:$F$303,Vendite_Patch!$L$4:$L$303,B24,Vendite_Patch!$I$4:$I$303,"Sì"))</f>
        <v/>
      </c>
      <c r="H24" s="26"/>
      <c r="I24" s="26" t="str">
        <f t="shared" si="1"/>
        <v/>
      </c>
      <c r="J24" s="19"/>
    </row>
    <row r="25" spans="1:10" ht="22" customHeight="1">
      <c r="A25" s="14"/>
      <c r="B25" s="18"/>
      <c r="C25" s="23"/>
      <c r="D25" s="23" t="str">
        <f>IF(B25="","",SUMIFS(Vendite_Patch!$D$4:$D$303,Vendite_Patch!$L$4:$L$303,B25))</f>
        <v/>
      </c>
      <c r="E25" s="23"/>
      <c r="F25" s="23" t="str">
        <f t="shared" si="0"/>
        <v/>
      </c>
      <c r="G25" s="26" t="str">
        <f>IF(B25="","",SUMIFS(Vendite_Patch!$F$4:$F$303,Vendite_Patch!$L$4:$L$303,B25,Vendite_Patch!$I$4:$I$303,"Sì"))</f>
        <v/>
      </c>
      <c r="H25" s="26"/>
      <c r="I25" s="26" t="str">
        <f t="shared" si="1"/>
        <v/>
      </c>
      <c r="J25" s="19"/>
    </row>
    <row r="26" spans="1:10" ht="22" customHeight="1">
      <c r="A26" s="14"/>
      <c r="B26" s="18"/>
      <c r="C26" s="23"/>
      <c r="D26" s="23" t="str">
        <f>IF(B26="","",SUMIFS(Vendite_Patch!$D$4:$D$303,Vendite_Patch!$L$4:$L$303,B26))</f>
        <v/>
      </c>
      <c r="E26" s="23"/>
      <c r="F26" s="23" t="str">
        <f t="shared" si="0"/>
        <v/>
      </c>
      <c r="G26" s="26" t="str">
        <f>IF(B26="","",SUMIFS(Vendite_Patch!$F$4:$F$303,Vendite_Patch!$L$4:$L$303,B26,Vendite_Patch!$I$4:$I$303,"Sì"))</f>
        <v/>
      </c>
      <c r="H26" s="26"/>
      <c r="I26" s="26" t="str">
        <f t="shared" si="1"/>
        <v/>
      </c>
      <c r="J26" s="19"/>
    </row>
    <row r="27" spans="1:10" ht="22" customHeight="1">
      <c r="A27" s="14"/>
      <c r="B27" s="18"/>
      <c r="C27" s="23"/>
      <c r="D27" s="23" t="str">
        <f>IF(B27="","",SUMIFS(Vendite_Patch!$D$4:$D$303,Vendite_Patch!$L$4:$L$303,B27))</f>
        <v/>
      </c>
      <c r="E27" s="23"/>
      <c r="F27" s="23" t="str">
        <f t="shared" si="0"/>
        <v/>
      </c>
      <c r="G27" s="26" t="str">
        <f>IF(B27="","",SUMIFS(Vendite_Patch!$F$4:$F$303,Vendite_Patch!$L$4:$L$303,B27,Vendite_Patch!$I$4:$I$303,"Sì"))</f>
        <v/>
      </c>
      <c r="H27" s="26"/>
      <c r="I27" s="26" t="str">
        <f t="shared" si="1"/>
        <v/>
      </c>
      <c r="J27" s="19"/>
    </row>
    <row r="28" spans="1:10" ht="22" customHeight="1">
      <c r="A28" s="14"/>
      <c r="B28" s="18"/>
      <c r="C28" s="23"/>
      <c r="D28" s="23" t="str">
        <f>IF(B28="","",SUMIFS(Vendite_Patch!$D$4:$D$303,Vendite_Patch!$L$4:$L$303,B28))</f>
        <v/>
      </c>
      <c r="E28" s="23"/>
      <c r="F28" s="23" t="str">
        <f t="shared" si="0"/>
        <v/>
      </c>
      <c r="G28" s="26" t="str">
        <f>IF(B28="","",SUMIFS(Vendite_Patch!$F$4:$F$303,Vendite_Patch!$L$4:$L$303,B28,Vendite_Patch!$I$4:$I$303,"Sì"))</f>
        <v/>
      </c>
      <c r="H28" s="26"/>
      <c r="I28" s="26" t="str">
        <f t="shared" si="1"/>
        <v/>
      </c>
      <c r="J28" s="19"/>
    </row>
    <row r="29" spans="1:10" ht="22" customHeight="1">
      <c r="A29" s="14"/>
      <c r="B29" s="18"/>
      <c r="C29" s="23"/>
      <c r="D29" s="23" t="str">
        <f>IF(B29="","",SUMIFS(Vendite_Patch!$D$4:$D$303,Vendite_Patch!$L$4:$L$303,B29))</f>
        <v/>
      </c>
      <c r="E29" s="23"/>
      <c r="F29" s="23" t="str">
        <f t="shared" si="0"/>
        <v/>
      </c>
      <c r="G29" s="26" t="str">
        <f>IF(B29="","",SUMIFS(Vendite_Patch!$F$4:$F$303,Vendite_Patch!$L$4:$L$303,B29,Vendite_Patch!$I$4:$I$303,"Sì"))</f>
        <v/>
      </c>
      <c r="H29" s="26"/>
      <c r="I29" s="26" t="str">
        <f t="shared" si="1"/>
        <v/>
      </c>
      <c r="J29" s="19"/>
    </row>
    <row r="30" spans="1:10" ht="22" customHeight="1">
      <c r="A30" s="14"/>
      <c r="B30" s="18"/>
      <c r="C30" s="23"/>
      <c r="D30" s="23" t="str">
        <f>IF(B30="","",SUMIFS(Vendite_Patch!$D$4:$D$303,Vendite_Patch!$L$4:$L$303,B30))</f>
        <v/>
      </c>
      <c r="E30" s="23"/>
      <c r="F30" s="23" t="str">
        <f t="shared" si="0"/>
        <v/>
      </c>
      <c r="G30" s="26" t="str">
        <f>IF(B30="","",SUMIFS(Vendite_Patch!$F$4:$F$303,Vendite_Patch!$L$4:$L$303,B30,Vendite_Patch!$I$4:$I$303,"Sì"))</f>
        <v/>
      </c>
      <c r="H30" s="26"/>
      <c r="I30" s="26" t="str">
        <f t="shared" si="1"/>
        <v/>
      </c>
      <c r="J30" s="19"/>
    </row>
    <row r="31" spans="1:10" ht="22" customHeight="1">
      <c r="A31" s="14"/>
      <c r="B31" s="18"/>
      <c r="C31" s="23"/>
      <c r="D31" s="23" t="str">
        <f>IF(B31="","",SUMIFS(Vendite_Patch!$D$4:$D$303,Vendite_Patch!$L$4:$L$303,B31))</f>
        <v/>
      </c>
      <c r="E31" s="23"/>
      <c r="F31" s="23" t="str">
        <f t="shared" si="0"/>
        <v/>
      </c>
      <c r="G31" s="26" t="str">
        <f>IF(B31="","",SUMIFS(Vendite_Patch!$F$4:$F$303,Vendite_Patch!$L$4:$L$303,B31,Vendite_Patch!$I$4:$I$303,"Sì"))</f>
        <v/>
      </c>
      <c r="H31" s="26"/>
      <c r="I31" s="26" t="str">
        <f t="shared" si="1"/>
        <v/>
      </c>
      <c r="J31" s="19"/>
    </row>
    <row r="32" spans="1:10" ht="22" customHeight="1">
      <c r="A32" s="14"/>
      <c r="B32" s="18"/>
      <c r="C32" s="23"/>
      <c r="D32" s="23" t="str">
        <f>IF(B32="","",SUMIFS(Vendite_Patch!$D$4:$D$303,Vendite_Patch!$L$4:$L$303,B32))</f>
        <v/>
      </c>
      <c r="E32" s="23"/>
      <c r="F32" s="23" t="str">
        <f t="shared" si="0"/>
        <v/>
      </c>
      <c r="G32" s="26" t="str">
        <f>IF(B32="","",SUMIFS(Vendite_Patch!$F$4:$F$303,Vendite_Patch!$L$4:$L$303,B32,Vendite_Patch!$I$4:$I$303,"Sì"))</f>
        <v/>
      </c>
      <c r="H32" s="26"/>
      <c r="I32" s="26" t="str">
        <f t="shared" si="1"/>
        <v/>
      </c>
      <c r="J32" s="19"/>
    </row>
    <row r="33" spans="1:10" ht="22" customHeight="1">
      <c r="A33" s="14"/>
      <c r="B33" s="18"/>
      <c r="C33" s="23"/>
      <c r="D33" s="23" t="str">
        <f>IF(B33="","",SUMIFS(Vendite_Patch!$D$4:$D$303,Vendite_Patch!$L$4:$L$303,B33))</f>
        <v/>
      </c>
      <c r="E33" s="23"/>
      <c r="F33" s="23" t="str">
        <f t="shared" si="0"/>
        <v/>
      </c>
      <c r="G33" s="26" t="str">
        <f>IF(B33="","",SUMIFS(Vendite_Patch!$F$4:$F$303,Vendite_Patch!$L$4:$L$303,B33,Vendite_Patch!$I$4:$I$303,"Sì"))</f>
        <v/>
      </c>
      <c r="H33" s="26"/>
      <c r="I33" s="26" t="str">
        <f t="shared" si="1"/>
        <v/>
      </c>
      <c r="J33" s="19"/>
    </row>
    <row r="34" spans="1:10" ht="22" customHeight="1">
      <c r="A34" s="14"/>
      <c r="B34" s="18"/>
      <c r="C34" s="23"/>
      <c r="D34" s="23" t="str">
        <f>IF(B34="","",SUMIFS(Vendite_Patch!$D$4:$D$303,Vendite_Patch!$L$4:$L$303,B34))</f>
        <v/>
      </c>
      <c r="E34" s="23"/>
      <c r="F34" s="23" t="str">
        <f t="shared" si="0"/>
        <v/>
      </c>
      <c r="G34" s="26" t="str">
        <f>IF(B34="","",SUMIFS(Vendite_Patch!$F$4:$F$303,Vendite_Patch!$L$4:$L$303,B34,Vendite_Patch!$I$4:$I$303,"Sì"))</f>
        <v/>
      </c>
      <c r="H34" s="26"/>
      <c r="I34" s="26" t="str">
        <f t="shared" si="1"/>
        <v/>
      </c>
      <c r="J34" s="19"/>
    </row>
    <row r="35" spans="1:10" ht="22" customHeight="1">
      <c r="A35" s="14"/>
      <c r="B35" s="18"/>
      <c r="C35" s="23"/>
      <c r="D35" s="23" t="str">
        <f>IF(B35="","",SUMIFS(Vendite_Patch!$D$4:$D$303,Vendite_Patch!$L$4:$L$303,B35))</f>
        <v/>
      </c>
      <c r="E35" s="23"/>
      <c r="F35" s="23" t="str">
        <f t="shared" si="0"/>
        <v/>
      </c>
      <c r="G35" s="26" t="str">
        <f>IF(B35="","",SUMIFS(Vendite_Patch!$F$4:$F$303,Vendite_Patch!$L$4:$L$303,B35,Vendite_Patch!$I$4:$I$303,"Sì"))</f>
        <v/>
      </c>
      <c r="H35" s="26"/>
      <c r="I35" s="26" t="str">
        <f t="shared" si="1"/>
        <v/>
      </c>
      <c r="J35" s="19"/>
    </row>
    <row r="36" spans="1:10" ht="22" customHeight="1">
      <c r="A36" s="14"/>
      <c r="B36" s="18"/>
      <c r="C36" s="23"/>
      <c r="D36" s="23" t="str">
        <f>IF(B36="","",SUMIFS(Vendite_Patch!$D$4:$D$303,Vendite_Patch!$L$4:$L$303,B36))</f>
        <v/>
      </c>
      <c r="E36" s="23"/>
      <c r="F36" s="23" t="str">
        <f t="shared" ref="F36:F67" si="2">IF(B36="","",MAX(C36-D36-E36,0))</f>
        <v/>
      </c>
      <c r="G36" s="26" t="str">
        <f>IF(B36="","",SUMIFS(Vendite_Patch!$F$4:$F$303,Vendite_Patch!$L$4:$L$303,B36,Vendite_Patch!$I$4:$I$303,"Sì"))</f>
        <v/>
      </c>
      <c r="H36" s="26"/>
      <c r="I36" s="26" t="str">
        <f t="shared" ref="I36:I67" si="3">IF(B36="","",MAX(G36-H36,0))</f>
        <v/>
      </c>
      <c r="J36" s="19"/>
    </row>
    <row r="37" spans="1:10" ht="22" customHeight="1">
      <c r="A37" s="14"/>
      <c r="B37" s="18"/>
      <c r="C37" s="23"/>
      <c r="D37" s="23" t="str">
        <f>IF(B37="","",SUMIFS(Vendite_Patch!$D$4:$D$303,Vendite_Patch!$L$4:$L$303,B37))</f>
        <v/>
      </c>
      <c r="E37" s="23"/>
      <c r="F37" s="23" t="str">
        <f t="shared" si="2"/>
        <v/>
      </c>
      <c r="G37" s="26" t="str">
        <f>IF(B37="","",SUMIFS(Vendite_Patch!$F$4:$F$303,Vendite_Patch!$L$4:$L$303,B37,Vendite_Patch!$I$4:$I$303,"Sì"))</f>
        <v/>
      </c>
      <c r="H37" s="26"/>
      <c r="I37" s="26" t="str">
        <f t="shared" si="3"/>
        <v/>
      </c>
      <c r="J37" s="19"/>
    </row>
    <row r="38" spans="1:10" ht="22" customHeight="1">
      <c r="A38" s="14"/>
      <c r="B38" s="18"/>
      <c r="C38" s="23"/>
      <c r="D38" s="23" t="str">
        <f>IF(B38="","",SUMIFS(Vendite_Patch!$D$4:$D$303,Vendite_Patch!$L$4:$L$303,B38))</f>
        <v/>
      </c>
      <c r="E38" s="23"/>
      <c r="F38" s="23" t="str">
        <f t="shared" si="2"/>
        <v/>
      </c>
      <c r="G38" s="26" t="str">
        <f>IF(B38="","",SUMIFS(Vendite_Patch!$F$4:$F$303,Vendite_Patch!$L$4:$L$303,B38,Vendite_Patch!$I$4:$I$303,"Sì"))</f>
        <v/>
      </c>
      <c r="H38" s="26"/>
      <c r="I38" s="26" t="str">
        <f t="shared" si="3"/>
        <v/>
      </c>
      <c r="J38" s="19"/>
    </row>
    <row r="39" spans="1:10" ht="22" customHeight="1">
      <c r="A39" s="14"/>
      <c r="B39" s="18"/>
      <c r="C39" s="23"/>
      <c r="D39" s="23" t="str">
        <f>IF(B39="","",SUMIFS(Vendite_Patch!$D$4:$D$303,Vendite_Patch!$L$4:$L$303,B39))</f>
        <v/>
      </c>
      <c r="E39" s="23"/>
      <c r="F39" s="23" t="str">
        <f t="shared" si="2"/>
        <v/>
      </c>
      <c r="G39" s="26" t="str">
        <f>IF(B39="","",SUMIFS(Vendite_Patch!$F$4:$F$303,Vendite_Patch!$L$4:$L$303,B39,Vendite_Patch!$I$4:$I$303,"Sì"))</f>
        <v/>
      </c>
      <c r="H39" s="26"/>
      <c r="I39" s="26" t="str">
        <f t="shared" si="3"/>
        <v/>
      </c>
      <c r="J39" s="19"/>
    </row>
    <row r="40" spans="1:10" ht="22" customHeight="1">
      <c r="A40" s="14"/>
      <c r="B40" s="18"/>
      <c r="C40" s="23"/>
      <c r="D40" s="23" t="str">
        <f>IF(B40="","",SUMIFS(Vendite_Patch!$D$4:$D$303,Vendite_Patch!$L$4:$L$303,B40))</f>
        <v/>
      </c>
      <c r="E40" s="23"/>
      <c r="F40" s="23" t="str">
        <f t="shared" si="2"/>
        <v/>
      </c>
      <c r="G40" s="26" t="str">
        <f>IF(B40="","",SUMIFS(Vendite_Patch!$F$4:$F$303,Vendite_Patch!$L$4:$L$303,B40,Vendite_Patch!$I$4:$I$303,"Sì"))</f>
        <v/>
      </c>
      <c r="H40" s="26"/>
      <c r="I40" s="26" t="str">
        <f t="shared" si="3"/>
        <v/>
      </c>
      <c r="J40" s="19"/>
    </row>
    <row r="41" spans="1:10" ht="22" customHeight="1">
      <c r="A41" s="14"/>
      <c r="B41" s="18"/>
      <c r="C41" s="23"/>
      <c r="D41" s="23" t="str">
        <f>IF(B41="","",SUMIFS(Vendite_Patch!$D$4:$D$303,Vendite_Patch!$L$4:$L$303,B41))</f>
        <v/>
      </c>
      <c r="E41" s="23"/>
      <c r="F41" s="23" t="str">
        <f t="shared" si="2"/>
        <v/>
      </c>
      <c r="G41" s="26" t="str">
        <f>IF(B41="","",SUMIFS(Vendite_Patch!$F$4:$F$303,Vendite_Patch!$L$4:$L$303,B41,Vendite_Patch!$I$4:$I$303,"Sì"))</f>
        <v/>
      </c>
      <c r="H41" s="26"/>
      <c r="I41" s="26" t="str">
        <f t="shared" si="3"/>
        <v/>
      </c>
      <c r="J41" s="19"/>
    </row>
    <row r="42" spans="1:10" ht="22" customHeight="1">
      <c r="A42" s="14"/>
      <c r="B42" s="18"/>
      <c r="C42" s="23"/>
      <c r="D42" s="23" t="str">
        <f>IF(B42="","",SUMIFS(Vendite_Patch!$D$4:$D$303,Vendite_Patch!$L$4:$L$303,B42))</f>
        <v/>
      </c>
      <c r="E42" s="23"/>
      <c r="F42" s="23" t="str">
        <f t="shared" si="2"/>
        <v/>
      </c>
      <c r="G42" s="26" t="str">
        <f>IF(B42="","",SUMIFS(Vendite_Patch!$F$4:$F$303,Vendite_Patch!$L$4:$L$303,B42,Vendite_Patch!$I$4:$I$303,"Sì"))</f>
        <v/>
      </c>
      <c r="H42" s="26"/>
      <c r="I42" s="26" t="str">
        <f t="shared" si="3"/>
        <v/>
      </c>
      <c r="J42" s="19"/>
    </row>
    <row r="43" spans="1:10" ht="22" customHeight="1">
      <c r="A43" s="14"/>
      <c r="B43" s="18"/>
      <c r="C43" s="23"/>
      <c r="D43" s="23" t="str">
        <f>IF(B43="","",SUMIFS(Vendite_Patch!$D$4:$D$303,Vendite_Patch!$L$4:$L$303,B43))</f>
        <v/>
      </c>
      <c r="E43" s="23"/>
      <c r="F43" s="23" t="str">
        <f t="shared" si="2"/>
        <v/>
      </c>
      <c r="G43" s="26" t="str">
        <f>IF(B43="","",SUMIFS(Vendite_Patch!$F$4:$F$303,Vendite_Patch!$L$4:$L$303,B43,Vendite_Patch!$I$4:$I$303,"Sì"))</f>
        <v/>
      </c>
      <c r="H43" s="26"/>
      <c r="I43" s="26" t="str">
        <f t="shared" si="3"/>
        <v/>
      </c>
      <c r="J43" s="19"/>
    </row>
    <row r="44" spans="1:10" ht="22" customHeight="1">
      <c r="A44" s="14"/>
      <c r="B44" s="18"/>
      <c r="C44" s="23"/>
      <c r="D44" s="23" t="str">
        <f>IF(B44="","",SUMIFS(Vendite_Patch!$D$4:$D$303,Vendite_Patch!$L$4:$L$303,B44))</f>
        <v/>
      </c>
      <c r="E44" s="23"/>
      <c r="F44" s="23" t="str">
        <f t="shared" si="2"/>
        <v/>
      </c>
      <c r="G44" s="26" t="str">
        <f>IF(B44="","",SUMIFS(Vendite_Patch!$F$4:$F$303,Vendite_Patch!$L$4:$L$303,B44,Vendite_Patch!$I$4:$I$303,"Sì"))</f>
        <v/>
      </c>
      <c r="H44" s="26"/>
      <c r="I44" s="26" t="str">
        <f t="shared" si="3"/>
        <v/>
      </c>
      <c r="J44" s="19"/>
    </row>
    <row r="45" spans="1:10" ht="22" customHeight="1">
      <c r="A45" s="14"/>
      <c r="B45" s="18"/>
      <c r="C45" s="23"/>
      <c r="D45" s="23" t="str">
        <f>IF(B45="","",SUMIFS(Vendite_Patch!$D$4:$D$303,Vendite_Patch!$L$4:$L$303,B45))</f>
        <v/>
      </c>
      <c r="E45" s="23"/>
      <c r="F45" s="23" t="str">
        <f t="shared" si="2"/>
        <v/>
      </c>
      <c r="G45" s="26" t="str">
        <f>IF(B45="","",SUMIFS(Vendite_Patch!$F$4:$F$303,Vendite_Patch!$L$4:$L$303,B45,Vendite_Patch!$I$4:$I$303,"Sì"))</f>
        <v/>
      </c>
      <c r="H45" s="26"/>
      <c r="I45" s="26" t="str">
        <f t="shared" si="3"/>
        <v/>
      </c>
      <c r="J45" s="19"/>
    </row>
    <row r="46" spans="1:10" ht="22" customHeight="1">
      <c r="A46" s="14"/>
      <c r="B46" s="18"/>
      <c r="C46" s="23"/>
      <c r="D46" s="23" t="str">
        <f>IF(B46="","",SUMIFS(Vendite_Patch!$D$4:$D$303,Vendite_Patch!$L$4:$L$303,B46))</f>
        <v/>
      </c>
      <c r="E46" s="23"/>
      <c r="F46" s="23" t="str">
        <f t="shared" si="2"/>
        <v/>
      </c>
      <c r="G46" s="26" t="str">
        <f>IF(B46="","",SUMIFS(Vendite_Patch!$F$4:$F$303,Vendite_Patch!$L$4:$L$303,B46,Vendite_Patch!$I$4:$I$303,"Sì"))</f>
        <v/>
      </c>
      <c r="H46" s="26"/>
      <c r="I46" s="26" t="str">
        <f t="shared" si="3"/>
        <v/>
      </c>
      <c r="J46" s="19"/>
    </row>
    <row r="47" spans="1:10" ht="22" customHeight="1">
      <c r="A47" s="14"/>
      <c r="B47" s="18"/>
      <c r="C47" s="23"/>
      <c r="D47" s="23" t="str">
        <f>IF(B47="","",SUMIFS(Vendite_Patch!$D$4:$D$303,Vendite_Patch!$L$4:$L$303,B47))</f>
        <v/>
      </c>
      <c r="E47" s="23"/>
      <c r="F47" s="23" t="str">
        <f t="shared" si="2"/>
        <v/>
      </c>
      <c r="G47" s="26" t="str">
        <f>IF(B47="","",SUMIFS(Vendite_Patch!$F$4:$F$303,Vendite_Patch!$L$4:$L$303,B47,Vendite_Patch!$I$4:$I$303,"Sì"))</f>
        <v/>
      </c>
      <c r="H47" s="26"/>
      <c r="I47" s="26" t="str">
        <f t="shared" si="3"/>
        <v/>
      </c>
      <c r="J47" s="19"/>
    </row>
    <row r="48" spans="1:10" ht="22" customHeight="1">
      <c r="A48" s="14"/>
      <c r="B48" s="18"/>
      <c r="C48" s="23"/>
      <c r="D48" s="23" t="str">
        <f>IF(B48="","",SUMIFS(Vendite_Patch!$D$4:$D$303,Vendite_Patch!$L$4:$L$303,B48))</f>
        <v/>
      </c>
      <c r="E48" s="23"/>
      <c r="F48" s="23" t="str">
        <f t="shared" si="2"/>
        <v/>
      </c>
      <c r="G48" s="26" t="str">
        <f>IF(B48="","",SUMIFS(Vendite_Patch!$F$4:$F$303,Vendite_Patch!$L$4:$L$303,B48,Vendite_Patch!$I$4:$I$303,"Sì"))</f>
        <v/>
      </c>
      <c r="H48" s="26"/>
      <c r="I48" s="26" t="str">
        <f t="shared" si="3"/>
        <v/>
      </c>
      <c r="J48" s="19"/>
    </row>
    <row r="49" spans="1:10" ht="22" customHeight="1">
      <c r="A49" s="14"/>
      <c r="B49" s="18"/>
      <c r="C49" s="23"/>
      <c r="D49" s="23" t="str">
        <f>IF(B49="","",SUMIFS(Vendite_Patch!$D$4:$D$303,Vendite_Patch!$L$4:$L$303,B49))</f>
        <v/>
      </c>
      <c r="E49" s="23"/>
      <c r="F49" s="23" t="str">
        <f t="shared" si="2"/>
        <v/>
      </c>
      <c r="G49" s="26" t="str">
        <f>IF(B49="","",SUMIFS(Vendite_Patch!$F$4:$F$303,Vendite_Patch!$L$4:$L$303,B49,Vendite_Patch!$I$4:$I$303,"Sì"))</f>
        <v/>
      </c>
      <c r="H49" s="26"/>
      <c r="I49" s="26" t="str">
        <f t="shared" si="3"/>
        <v/>
      </c>
      <c r="J49" s="19"/>
    </row>
    <row r="50" spans="1:10" ht="22" customHeight="1">
      <c r="A50" s="14"/>
      <c r="B50" s="18"/>
      <c r="C50" s="23"/>
      <c r="D50" s="23" t="str">
        <f>IF(B50="","",SUMIFS(Vendite_Patch!$D$4:$D$303,Vendite_Patch!$L$4:$L$303,B50))</f>
        <v/>
      </c>
      <c r="E50" s="23"/>
      <c r="F50" s="23" t="str">
        <f t="shared" si="2"/>
        <v/>
      </c>
      <c r="G50" s="26" t="str">
        <f>IF(B50="","",SUMIFS(Vendite_Patch!$F$4:$F$303,Vendite_Patch!$L$4:$L$303,B50,Vendite_Patch!$I$4:$I$303,"Sì"))</f>
        <v/>
      </c>
      <c r="H50" s="26"/>
      <c r="I50" s="26" t="str">
        <f t="shared" si="3"/>
        <v/>
      </c>
      <c r="J50" s="19"/>
    </row>
    <row r="51" spans="1:10" ht="22" customHeight="1">
      <c r="A51" s="14"/>
      <c r="B51" s="18"/>
      <c r="C51" s="23"/>
      <c r="D51" s="23" t="str">
        <f>IF(B51="","",SUMIFS(Vendite_Patch!$D$4:$D$303,Vendite_Patch!$L$4:$L$303,B51))</f>
        <v/>
      </c>
      <c r="E51" s="23"/>
      <c r="F51" s="23" t="str">
        <f t="shared" si="2"/>
        <v/>
      </c>
      <c r="G51" s="26" t="str">
        <f>IF(B51="","",SUMIFS(Vendite_Patch!$F$4:$F$303,Vendite_Patch!$L$4:$L$303,B51,Vendite_Patch!$I$4:$I$303,"Sì"))</f>
        <v/>
      </c>
      <c r="H51" s="26"/>
      <c r="I51" s="26" t="str">
        <f t="shared" si="3"/>
        <v/>
      </c>
      <c r="J51" s="19"/>
    </row>
    <row r="52" spans="1:10" ht="22" customHeight="1">
      <c r="A52" s="14"/>
      <c r="B52" s="18"/>
      <c r="C52" s="23"/>
      <c r="D52" s="23" t="str">
        <f>IF(B52="","",SUMIFS(Vendite_Patch!$D$4:$D$303,Vendite_Patch!$L$4:$L$303,B52))</f>
        <v/>
      </c>
      <c r="E52" s="23"/>
      <c r="F52" s="23" t="str">
        <f t="shared" si="2"/>
        <v/>
      </c>
      <c r="G52" s="26" t="str">
        <f>IF(B52="","",SUMIFS(Vendite_Patch!$F$4:$F$303,Vendite_Patch!$L$4:$L$303,B52,Vendite_Patch!$I$4:$I$303,"Sì"))</f>
        <v/>
      </c>
      <c r="H52" s="26"/>
      <c r="I52" s="26" t="str">
        <f t="shared" si="3"/>
        <v/>
      </c>
      <c r="J52" s="19"/>
    </row>
    <row r="53" spans="1:10" ht="22" customHeight="1">
      <c r="A53" s="14"/>
      <c r="B53" s="18"/>
      <c r="C53" s="23"/>
      <c r="D53" s="23" t="str">
        <f>IF(B53="","",SUMIFS(Vendite_Patch!$D$4:$D$303,Vendite_Patch!$L$4:$L$303,B53))</f>
        <v/>
      </c>
      <c r="E53" s="23"/>
      <c r="F53" s="23" t="str">
        <f t="shared" si="2"/>
        <v/>
      </c>
      <c r="G53" s="26" t="str">
        <f>IF(B53="","",SUMIFS(Vendite_Patch!$F$4:$F$303,Vendite_Patch!$L$4:$L$303,B53,Vendite_Patch!$I$4:$I$303,"Sì"))</f>
        <v/>
      </c>
      <c r="H53" s="26"/>
      <c r="I53" s="26" t="str">
        <f t="shared" si="3"/>
        <v/>
      </c>
      <c r="J53" s="19"/>
    </row>
    <row r="54" spans="1:10" ht="22" customHeight="1">
      <c r="A54" s="14"/>
      <c r="B54" s="18"/>
      <c r="C54" s="23"/>
      <c r="D54" s="23" t="str">
        <f>IF(B54="","",SUMIFS(Vendite_Patch!$D$4:$D$303,Vendite_Patch!$L$4:$L$303,B54))</f>
        <v/>
      </c>
      <c r="E54" s="23"/>
      <c r="F54" s="23" t="str">
        <f t="shared" si="2"/>
        <v/>
      </c>
      <c r="G54" s="26" t="str">
        <f>IF(B54="","",SUMIFS(Vendite_Patch!$F$4:$F$303,Vendite_Patch!$L$4:$L$303,B54,Vendite_Patch!$I$4:$I$303,"Sì"))</f>
        <v/>
      </c>
      <c r="H54" s="26"/>
      <c r="I54" s="26" t="str">
        <f t="shared" si="3"/>
        <v/>
      </c>
      <c r="J54" s="19"/>
    </row>
    <row r="55" spans="1:10" ht="22" customHeight="1">
      <c r="A55" s="14"/>
      <c r="B55" s="18"/>
      <c r="C55" s="23"/>
      <c r="D55" s="23" t="str">
        <f>IF(B55="","",SUMIFS(Vendite_Patch!$D$4:$D$303,Vendite_Patch!$L$4:$L$303,B55))</f>
        <v/>
      </c>
      <c r="E55" s="23"/>
      <c r="F55" s="23" t="str">
        <f t="shared" si="2"/>
        <v/>
      </c>
      <c r="G55" s="26" t="str">
        <f>IF(B55="","",SUMIFS(Vendite_Patch!$F$4:$F$303,Vendite_Patch!$L$4:$L$303,B55,Vendite_Patch!$I$4:$I$303,"Sì"))</f>
        <v/>
      </c>
      <c r="H55" s="26"/>
      <c r="I55" s="26" t="str">
        <f t="shared" si="3"/>
        <v/>
      </c>
      <c r="J55" s="19"/>
    </row>
    <row r="56" spans="1:10" ht="22" customHeight="1">
      <c r="A56" s="14"/>
      <c r="B56" s="18"/>
      <c r="C56" s="23"/>
      <c r="D56" s="23" t="str">
        <f>IF(B56="","",SUMIFS(Vendite_Patch!$D$4:$D$303,Vendite_Patch!$L$4:$L$303,B56))</f>
        <v/>
      </c>
      <c r="E56" s="23"/>
      <c r="F56" s="23" t="str">
        <f t="shared" si="2"/>
        <v/>
      </c>
      <c r="G56" s="26" t="str">
        <f>IF(B56="","",SUMIFS(Vendite_Patch!$F$4:$F$303,Vendite_Patch!$L$4:$L$303,B56,Vendite_Patch!$I$4:$I$303,"Sì"))</f>
        <v/>
      </c>
      <c r="H56" s="26"/>
      <c r="I56" s="26" t="str">
        <f t="shared" si="3"/>
        <v/>
      </c>
      <c r="J56" s="19"/>
    </row>
    <row r="57" spans="1:10" ht="22" customHeight="1">
      <c r="A57" s="14"/>
      <c r="B57" s="18"/>
      <c r="C57" s="23"/>
      <c r="D57" s="23" t="str">
        <f>IF(B57="","",SUMIFS(Vendite_Patch!$D$4:$D$303,Vendite_Patch!$L$4:$L$303,B57))</f>
        <v/>
      </c>
      <c r="E57" s="23"/>
      <c r="F57" s="23" t="str">
        <f t="shared" si="2"/>
        <v/>
      </c>
      <c r="G57" s="26" t="str">
        <f>IF(B57="","",SUMIFS(Vendite_Patch!$F$4:$F$303,Vendite_Patch!$L$4:$L$303,B57,Vendite_Patch!$I$4:$I$303,"Sì"))</f>
        <v/>
      </c>
      <c r="H57" s="26"/>
      <c r="I57" s="26" t="str">
        <f t="shared" si="3"/>
        <v/>
      </c>
      <c r="J57" s="19"/>
    </row>
    <row r="58" spans="1:10" ht="22" customHeight="1">
      <c r="A58" s="14"/>
      <c r="B58" s="18"/>
      <c r="C58" s="23"/>
      <c r="D58" s="23" t="str">
        <f>IF(B58="","",SUMIFS(Vendite_Patch!$D$4:$D$303,Vendite_Patch!$L$4:$L$303,B58))</f>
        <v/>
      </c>
      <c r="E58" s="23"/>
      <c r="F58" s="23" t="str">
        <f t="shared" si="2"/>
        <v/>
      </c>
      <c r="G58" s="26" t="str">
        <f>IF(B58="","",SUMIFS(Vendite_Patch!$F$4:$F$303,Vendite_Patch!$L$4:$L$303,B58,Vendite_Patch!$I$4:$I$303,"Sì"))</f>
        <v/>
      </c>
      <c r="H58" s="26"/>
      <c r="I58" s="26" t="str">
        <f t="shared" si="3"/>
        <v/>
      </c>
      <c r="J58" s="19"/>
    </row>
    <row r="59" spans="1:10" ht="22" customHeight="1">
      <c r="A59" s="14"/>
      <c r="B59" s="18"/>
      <c r="C59" s="23"/>
      <c r="D59" s="23" t="str">
        <f>IF(B59="","",SUMIFS(Vendite_Patch!$D$4:$D$303,Vendite_Patch!$L$4:$L$303,B59))</f>
        <v/>
      </c>
      <c r="E59" s="23"/>
      <c r="F59" s="23" t="str">
        <f t="shared" si="2"/>
        <v/>
      </c>
      <c r="G59" s="26" t="str">
        <f>IF(B59="","",SUMIFS(Vendite_Patch!$F$4:$F$303,Vendite_Patch!$L$4:$L$303,B59,Vendite_Patch!$I$4:$I$303,"Sì"))</f>
        <v/>
      </c>
      <c r="H59" s="26"/>
      <c r="I59" s="26" t="str">
        <f t="shared" si="3"/>
        <v/>
      </c>
      <c r="J59" s="19"/>
    </row>
    <row r="60" spans="1:10" ht="22" customHeight="1">
      <c r="A60" s="14"/>
      <c r="B60" s="18"/>
      <c r="C60" s="23"/>
      <c r="D60" s="23" t="str">
        <f>IF(B60="","",SUMIFS(Vendite_Patch!$D$4:$D$303,Vendite_Patch!$L$4:$L$303,B60))</f>
        <v/>
      </c>
      <c r="E60" s="23"/>
      <c r="F60" s="23" t="str">
        <f t="shared" si="2"/>
        <v/>
      </c>
      <c r="G60" s="26" t="str">
        <f>IF(B60="","",SUMIFS(Vendite_Patch!$F$4:$F$303,Vendite_Patch!$L$4:$L$303,B60,Vendite_Patch!$I$4:$I$303,"Sì"))</f>
        <v/>
      </c>
      <c r="H60" s="26"/>
      <c r="I60" s="26" t="str">
        <f t="shared" si="3"/>
        <v/>
      </c>
      <c r="J60" s="19"/>
    </row>
    <row r="61" spans="1:10" ht="22" customHeight="1">
      <c r="A61" s="14"/>
      <c r="B61" s="18"/>
      <c r="C61" s="23"/>
      <c r="D61" s="23" t="str">
        <f>IF(B61="","",SUMIFS(Vendite_Patch!$D$4:$D$303,Vendite_Patch!$L$4:$L$303,B61))</f>
        <v/>
      </c>
      <c r="E61" s="23"/>
      <c r="F61" s="23" t="str">
        <f t="shared" si="2"/>
        <v/>
      </c>
      <c r="G61" s="26" t="str">
        <f>IF(B61="","",SUMIFS(Vendite_Patch!$F$4:$F$303,Vendite_Patch!$L$4:$L$303,B61,Vendite_Patch!$I$4:$I$303,"Sì"))</f>
        <v/>
      </c>
      <c r="H61" s="26"/>
      <c r="I61" s="26" t="str">
        <f t="shared" si="3"/>
        <v/>
      </c>
      <c r="J61" s="19"/>
    </row>
    <row r="62" spans="1:10" ht="22" customHeight="1">
      <c r="A62" s="14"/>
      <c r="B62" s="18"/>
      <c r="C62" s="23"/>
      <c r="D62" s="23" t="str">
        <f>IF(B62="","",SUMIFS(Vendite_Patch!$D$4:$D$303,Vendite_Patch!$L$4:$L$303,B62))</f>
        <v/>
      </c>
      <c r="E62" s="23"/>
      <c r="F62" s="23" t="str">
        <f t="shared" si="2"/>
        <v/>
      </c>
      <c r="G62" s="26" t="str">
        <f>IF(B62="","",SUMIFS(Vendite_Patch!$F$4:$F$303,Vendite_Patch!$L$4:$L$303,B62,Vendite_Patch!$I$4:$I$303,"Sì"))</f>
        <v/>
      </c>
      <c r="H62" s="26"/>
      <c r="I62" s="26" t="str">
        <f t="shared" si="3"/>
        <v/>
      </c>
      <c r="J62" s="19"/>
    </row>
    <row r="63" spans="1:10" ht="22" customHeight="1">
      <c r="A63" s="14"/>
      <c r="B63" s="18"/>
      <c r="C63" s="23"/>
      <c r="D63" s="23" t="str">
        <f>IF(B63="","",SUMIFS(Vendite_Patch!$D$4:$D$303,Vendite_Patch!$L$4:$L$303,B63))</f>
        <v/>
      </c>
      <c r="E63" s="23"/>
      <c r="F63" s="23" t="str">
        <f t="shared" si="2"/>
        <v/>
      </c>
      <c r="G63" s="26" t="str">
        <f>IF(B63="","",SUMIFS(Vendite_Patch!$F$4:$F$303,Vendite_Patch!$L$4:$L$303,B63,Vendite_Patch!$I$4:$I$303,"Sì"))</f>
        <v/>
      </c>
      <c r="H63" s="26"/>
      <c r="I63" s="26" t="str">
        <f t="shared" si="3"/>
        <v/>
      </c>
      <c r="J63" s="19"/>
    </row>
    <row r="64" spans="1:10" ht="22" customHeight="1">
      <c r="A64" s="14"/>
      <c r="B64" s="18"/>
      <c r="C64" s="23"/>
      <c r="D64" s="23" t="str">
        <f>IF(B64="","",SUMIFS(Vendite_Patch!$D$4:$D$303,Vendite_Patch!$L$4:$L$303,B64))</f>
        <v/>
      </c>
      <c r="E64" s="23"/>
      <c r="F64" s="23" t="str">
        <f t="shared" si="2"/>
        <v/>
      </c>
      <c r="G64" s="26" t="str">
        <f>IF(B64="","",SUMIFS(Vendite_Patch!$F$4:$F$303,Vendite_Patch!$L$4:$L$303,B64,Vendite_Patch!$I$4:$I$303,"Sì"))</f>
        <v/>
      </c>
      <c r="H64" s="26"/>
      <c r="I64" s="26" t="str">
        <f t="shared" si="3"/>
        <v/>
      </c>
      <c r="J64" s="19"/>
    </row>
    <row r="65" spans="1:10" ht="22" customHeight="1">
      <c r="A65" s="14"/>
      <c r="B65" s="18"/>
      <c r="C65" s="23"/>
      <c r="D65" s="23" t="str">
        <f>IF(B65="","",SUMIFS(Vendite_Patch!$D$4:$D$303,Vendite_Patch!$L$4:$L$303,B65))</f>
        <v/>
      </c>
      <c r="E65" s="23"/>
      <c r="F65" s="23" t="str">
        <f t="shared" si="2"/>
        <v/>
      </c>
      <c r="G65" s="26" t="str">
        <f>IF(B65="","",SUMIFS(Vendite_Patch!$F$4:$F$303,Vendite_Patch!$L$4:$L$303,B65,Vendite_Patch!$I$4:$I$303,"Sì"))</f>
        <v/>
      </c>
      <c r="H65" s="26"/>
      <c r="I65" s="26" t="str">
        <f t="shared" si="3"/>
        <v/>
      </c>
      <c r="J65" s="19"/>
    </row>
    <row r="66" spans="1:10" ht="22" customHeight="1">
      <c r="A66" s="14"/>
      <c r="B66" s="18"/>
      <c r="C66" s="23"/>
      <c r="D66" s="23" t="str">
        <f>IF(B66="","",SUMIFS(Vendite_Patch!$D$4:$D$303,Vendite_Patch!$L$4:$L$303,B66))</f>
        <v/>
      </c>
      <c r="E66" s="23"/>
      <c r="F66" s="23" t="str">
        <f t="shared" si="2"/>
        <v/>
      </c>
      <c r="G66" s="26" t="str">
        <f>IF(B66="","",SUMIFS(Vendite_Patch!$F$4:$F$303,Vendite_Patch!$L$4:$L$303,B66,Vendite_Patch!$I$4:$I$303,"Sì"))</f>
        <v/>
      </c>
      <c r="H66" s="26"/>
      <c r="I66" s="26" t="str">
        <f t="shared" si="3"/>
        <v/>
      </c>
      <c r="J66" s="19"/>
    </row>
    <row r="67" spans="1:10" ht="22" customHeight="1">
      <c r="A67" s="14"/>
      <c r="B67" s="18"/>
      <c r="C67" s="23"/>
      <c r="D67" s="23" t="str">
        <f>IF(B67="","",SUMIFS(Vendite_Patch!$D$4:$D$303,Vendite_Patch!$L$4:$L$303,B67))</f>
        <v/>
      </c>
      <c r="E67" s="23"/>
      <c r="F67" s="23" t="str">
        <f t="shared" si="2"/>
        <v/>
      </c>
      <c r="G67" s="26" t="str">
        <f>IF(B67="","",SUMIFS(Vendite_Patch!$F$4:$F$303,Vendite_Patch!$L$4:$L$303,B67,Vendite_Patch!$I$4:$I$303,"Sì"))</f>
        <v/>
      </c>
      <c r="H67" s="26"/>
      <c r="I67" s="26" t="str">
        <f t="shared" si="3"/>
        <v/>
      </c>
      <c r="J67" s="19"/>
    </row>
    <row r="68" spans="1:10" ht="22" customHeight="1">
      <c r="A68" s="14"/>
      <c r="B68" s="18"/>
      <c r="C68" s="23"/>
      <c r="D68" s="23" t="str">
        <f>IF(B68="","",SUMIFS(Vendite_Patch!$D$4:$D$303,Vendite_Patch!$L$4:$L$303,B68))</f>
        <v/>
      </c>
      <c r="E68" s="23"/>
      <c r="F68" s="23" t="str">
        <f t="shared" ref="F68:F99" si="4">IF(B68="","",MAX(C68-D68-E68,0))</f>
        <v/>
      </c>
      <c r="G68" s="26" t="str">
        <f>IF(B68="","",SUMIFS(Vendite_Patch!$F$4:$F$303,Vendite_Patch!$L$4:$L$303,B68,Vendite_Patch!$I$4:$I$303,"Sì"))</f>
        <v/>
      </c>
      <c r="H68" s="26"/>
      <c r="I68" s="26" t="str">
        <f t="shared" ref="I68:I99" si="5">IF(B68="","",MAX(G68-H68,0))</f>
        <v/>
      </c>
      <c r="J68" s="19"/>
    </row>
    <row r="69" spans="1:10" ht="22" customHeight="1">
      <c r="A69" s="14"/>
      <c r="B69" s="18"/>
      <c r="C69" s="23"/>
      <c r="D69" s="23" t="str">
        <f>IF(B69="","",SUMIFS(Vendite_Patch!$D$4:$D$303,Vendite_Patch!$L$4:$L$303,B69))</f>
        <v/>
      </c>
      <c r="E69" s="23"/>
      <c r="F69" s="23" t="str">
        <f t="shared" si="4"/>
        <v/>
      </c>
      <c r="G69" s="26" t="str">
        <f>IF(B69="","",SUMIFS(Vendite_Patch!$F$4:$F$303,Vendite_Patch!$L$4:$L$303,B69,Vendite_Patch!$I$4:$I$303,"Sì"))</f>
        <v/>
      </c>
      <c r="H69" s="26"/>
      <c r="I69" s="26" t="str">
        <f t="shared" si="5"/>
        <v/>
      </c>
      <c r="J69" s="19"/>
    </row>
    <row r="70" spans="1:10" ht="22" customHeight="1">
      <c r="A70" s="14"/>
      <c r="B70" s="18"/>
      <c r="C70" s="23"/>
      <c r="D70" s="23" t="str">
        <f>IF(B70="","",SUMIFS(Vendite_Patch!$D$4:$D$303,Vendite_Patch!$L$4:$L$303,B70))</f>
        <v/>
      </c>
      <c r="E70" s="23"/>
      <c r="F70" s="23" t="str">
        <f t="shared" si="4"/>
        <v/>
      </c>
      <c r="G70" s="26" t="str">
        <f>IF(B70="","",SUMIFS(Vendite_Patch!$F$4:$F$303,Vendite_Patch!$L$4:$L$303,B70,Vendite_Patch!$I$4:$I$303,"Sì"))</f>
        <v/>
      </c>
      <c r="H70" s="26"/>
      <c r="I70" s="26" t="str">
        <f t="shared" si="5"/>
        <v/>
      </c>
      <c r="J70" s="19"/>
    </row>
    <row r="71" spans="1:10" ht="22" customHeight="1">
      <c r="A71" s="14"/>
      <c r="B71" s="18"/>
      <c r="C71" s="23"/>
      <c r="D71" s="23" t="str">
        <f>IF(B71="","",SUMIFS(Vendite_Patch!$D$4:$D$303,Vendite_Patch!$L$4:$L$303,B71))</f>
        <v/>
      </c>
      <c r="E71" s="23"/>
      <c r="F71" s="23" t="str">
        <f t="shared" si="4"/>
        <v/>
      </c>
      <c r="G71" s="26" t="str">
        <f>IF(B71="","",SUMIFS(Vendite_Patch!$F$4:$F$303,Vendite_Patch!$L$4:$L$303,B71,Vendite_Patch!$I$4:$I$303,"Sì"))</f>
        <v/>
      </c>
      <c r="H71" s="26"/>
      <c r="I71" s="26" t="str">
        <f t="shared" si="5"/>
        <v/>
      </c>
      <c r="J71" s="19"/>
    </row>
    <row r="72" spans="1:10" ht="22" customHeight="1">
      <c r="A72" s="14"/>
      <c r="B72" s="18"/>
      <c r="C72" s="23"/>
      <c r="D72" s="23" t="str">
        <f>IF(B72="","",SUMIFS(Vendite_Patch!$D$4:$D$303,Vendite_Patch!$L$4:$L$303,B72))</f>
        <v/>
      </c>
      <c r="E72" s="23"/>
      <c r="F72" s="23" t="str">
        <f t="shared" si="4"/>
        <v/>
      </c>
      <c r="G72" s="26" t="str">
        <f>IF(B72="","",SUMIFS(Vendite_Patch!$F$4:$F$303,Vendite_Patch!$L$4:$L$303,B72,Vendite_Patch!$I$4:$I$303,"Sì"))</f>
        <v/>
      </c>
      <c r="H72" s="26"/>
      <c r="I72" s="26" t="str">
        <f t="shared" si="5"/>
        <v/>
      </c>
      <c r="J72" s="19"/>
    </row>
    <row r="73" spans="1:10" ht="22" customHeight="1">
      <c r="A73" s="14"/>
      <c r="B73" s="18"/>
      <c r="C73" s="23"/>
      <c r="D73" s="23" t="str">
        <f>IF(B73="","",SUMIFS(Vendite_Patch!$D$4:$D$303,Vendite_Patch!$L$4:$L$303,B73))</f>
        <v/>
      </c>
      <c r="E73" s="23"/>
      <c r="F73" s="23" t="str">
        <f t="shared" si="4"/>
        <v/>
      </c>
      <c r="G73" s="26" t="str">
        <f>IF(B73="","",SUMIFS(Vendite_Patch!$F$4:$F$303,Vendite_Patch!$L$4:$L$303,B73,Vendite_Patch!$I$4:$I$303,"Sì"))</f>
        <v/>
      </c>
      <c r="H73" s="26"/>
      <c r="I73" s="26" t="str">
        <f t="shared" si="5"/>
        <v/>
      </c>
      <c r="J73" s="19"/>
    </row>
    <row r="74" spans="1:10" ht="22" customHeight="1">
      <c r="A74" s="14"/>
      <c r="B74" s="18"/>
      <c r="C74" s="23"/>
      <c r="D74" s="23" t="str">
        <f>IF(B74="","",SUMIFS(Vendite_Patch!$D$4:$D$303,Vendite_Patch!$L$4:$L$303,B74))</f>
        <v/>
      </c>
      <c r="E74" s="23"/>
      <c r="F74" s="23" t="str">
        <f t="shared" si="4"/>
        <v/>
      </c>
      <c r="G74" s="26" t="str">
        <f>IF(B74="","",SUMIFS(Vendite_Patch!$F$4:$F$303,Vendite_Patch!$L$4:$L$303,B74,Vendite_Patch!$I$4:$I$303,"Sì"))</f>
        <v/>
      </c>
      <c r="H74" s="26"/>
      <c r="I74" s="26" t="str">
        <f t="shared" si="5"/>
        <v/>
      </c>
      <c r="J74" s="19"/>
    </row>
    <row r="75" spans="1:10" ht="22" customHeight="1">
      <c r="A75" s="14"/>
      <c r="B75" s="18"/>
      <c r="C75" s="23"/>
      <c r="D75" s="23" t="str">
        <f>IF(B75="","",SUMIFS(Vendite_Patch!$D$4:$D$303,Vendite_Patch!$L$4:$L$303,B75))</f>
        <v/>
      </c>
      <c r="E75" s="23"/>
      <c r="F75" s="23" t="str">
        <f t="shared" si="4"/>
        <v/>
      </c>
      <c r="G75" s="26" t="str">
        <f>IF(B75="","",SUMIFS(Vendite_Patch!$F$4:$F$303,Vendite_Patch!$L$4:$L$303,B75,Vendite_Patch!$I$4:$I$303,"Sì"))</f>
        <v/>
      </c>
      <c r="H75" s="26"/>
      <c r="I75" s="26" t="str">
        <f t="shared" si="5"/>
        <v/>
      </c>
      <c r="J75" s="19"/>
    </row>
    <row r="76" spans="1:10" ht="22" customHeight="1">
      <c r="A76" s="14"/>
      <c r="B76" s="18"/>
      <c r="C76" s="23"/>
      <c r="D76" s="23" t="str">
        <f>IF(B76="","",SUMIFS(Vendite_Patch!$D$4:$D$303,Vendite_Patch!$L$4:$L$303,B76))</f>
        <v/>
      </c>
      <c r="E76" s="23"/>
      <c r="F76" s="23" t="str">
        <f t="shared" si="4"/>
        <v/>
      </c>
      <c r="G76" s="26" t="str">
        <f>IF(B76="","",SUMIFS(Vendite_Patch!$F$4:$F$303,Vendite_Patch!$L$4:$L$303,B76,Vendite_Patch!$I$4:$I$303,"Sì"))</f>
        <v/>
      </c>
      <c r="H76" s="26"/>
      <c r="I76" s="26" t="str">
        <f t="shared" si="5"/>
        <v/>
      </c>
      <c r="J76" s="19"/>
    </row>
    <row r="77" spans="1:10" ht="22" customHeight="1">
      <c r="A77" s="14"/>
      <c r="B77" s="18"/>
      <c r="C77" s="23"/>
      <c r="D77" s="23" t="str">
        <f>IF(B77="","",SUMIFS(Vendite_Patch!$D$4:$D$303,Vendite_Patch!$L$4:$L$303,B77))</f>
        <v/>
      </c>
      <c r="E77" s="23"/>
      <c r="F77" s="23" t="str">
        <f t="shared" si="4"/>
        <v/>
      </c>
      <c r="G77" s="26" t="str">
        <f>IF(B77="","",SUMIFS(Vendite_Patch!$F$4:$F$303,Vendite_Patch!$L$4:$L$303,B77,Vendite_Patch!$I$4:$I$303,"Sì"))</f>
        <v/>
      </c>
      <c r="H77" s="26"/>
      <c r="I77" s="26" t="str">
        <f t="shared" si="5"/>
        <v/>
      </c>
      <c r="J77" s="19"/>
    </row>
    <row r="78" spans="1:10" ht="22" customHeight="1">
      <c r="A78" s="14"/>
      <c r="B78" s="18"/>
      <c r="C78" s="23"/>
      <c r="D78" s="23" t="str">
        <f>IF(B78="","",SUMIFS(Vendite_Patch!$D$4:$D$303,Vendite_Patch!$L$4:$L$303,B78))</f>
        <v/>
      </c>
      <c r="E78" s="23"/>
      <c r="F78" s="23" t="str">
        <f t="shared" si="4"/>
        <v/>
      </c>
      <c r="G78" s="26" t="str">
        <f>IF(B78="","",SUMIFS(Vendite_Patch!$F$4:$F$303,Vendite_Patch!$L$4:$L$303,B78,Vendite_Patch!$I$4:$I$303,"Sì"))</f>
        <v/>
      </c>
      <c r="H78" s="26"/>
      <c r="I78" s="26" t="str">
        <f t="shared" si="5"/>
        <v/>
      </c>
      <c r="J78" s="19"/>
    </row>
    <row r="79" spans="1:10" ht="22" customHeight="1">
      <c r="A79" s="14"/>
      <c r="B79" s="18"/>
      <c r="C79" s="23"/>
      <c r="D79" s="23" t="str">
        <f>IF(B79="","",SUMIFS(Vendite_Patch!$D$4:$D$303,Vendite_Patch!$L$4:$L$303,B79))</f>
        <v/>
      </c>
      <c r="E79" s="23"/>
      <c r="F79" s="23" t="str">
        <f t="shared" si="4"/>
        <v/>
      </c>
      <c r="G79" s="26" t="str">
        <f>IF(B79="","",SUMIFS(Vendite_Patch!$F$4:$F$303,Vendite_Patch!$L$4:$L$303,B79,Vendite_Patch!$I$4:$I$303,"Sì"))</f>
        <v/>
      </c>
      <c r="H79" s="26"/>
      <c r="I79" s="26" t="str">
        <f t="shared" si="5"/>
        <v/>
      </c>
      <c r="J79" s="19"/>
    </row>
    <row r="80" spans="1:10" ht="22" customHeight="1">
      <c r="A80" s="14"/>
      <c r="B80" s="18"/>
      <c r="C80" s="23"/>
      <c r="D80" s="23" t="str">
        <f>IF(B80="","",SUMIFS(Vendite_Patch!$D$4:$D$303,Vendite_Patch!$L$4:$L$303,B80))</f>
        <v/>
      </c>
      <c r="E80" s="23"/>
      <c r="F80" s="23" t="str">
        <f t="shared" si="4"/>
        <v/>
      </c>
      <c r="G80" s="26" t="str">
        <f>IF(B80="","",SUMIFS(Vendite_Patch!$F$4:$F$303,Vendite_Patch!$L$4:$L$303,B80,Vendite_Patch!$I$4:$I$303,"Sì"))</f>
        <v/>
      </c>
      <c r="H80" s="26"/>
      <c r="I80" s="26" t="str">
        <f t="shared" si="5"/>
        <v/>
      </c>
      <c r="J80" s="19"/>
    </row>
    <row r="81" spans="1:10" ht="22" customHeight="1">
      <c r="A81" s="14"/>
      <c r="B81" s="18"/>
      <c r="C81" s="23"/>
      <c r="D81" s="23" t="str">
        <f>IF(B81="","",SUMIFS(Vendite_Patch!$D$4:$D$303,Vendite_Patch!$L$4:$L$303,B81))</f>
        <v/>
      </c>
      <c r="E81" s="23"/>
      <c r="F81" s="23" t="str">
        <f t="shared" si="4"/>
        <v/>
      </c>
      <c r="G81" s="26" t="str">
        <f>IF(B81="","",SUMIFS(Vendite_Patch!$F$4:$F$303,Vendite_Patch!$L$4:$L$303,B81,Vendite_Patch!$I$4:$I$303,"Sì"))</f>
        <v/>
      </c>
      <c r="H81" s="26"/>
      <c r="I81" s="26" t="str">
        <f t="shared" si="5"/>
        <v/>
      </c>
      <c r="J81" s="19"/>
    </row>
    <row r="82" spans="1:10" ht="22" customHeight="1">
      <c r="A82" s="14"/>
      <c r="B82" s="18"/>
      <c r="C82" s="23"/>
      <c r="D82" s="23" t="str">
        <f>IF(B82="","",SUMIFS(Vendite_Patch!$D$4:$D$303,Vendite_Patch!$L$4:$L$303,B82))</f>
        <v/>
      </c>
      <c r="E82" s="23"/>
      <c r="F82" s="23" t="str">
        <f t="shared" si="4"/>
        <v/>
      </c>
      <c r="G82" s="26" t="str">
        <f>IF(B82="","",SUMIFS(Vendite_Patch!$F$4:$F$303,Vendite_Patch!$L$4:$L$303,B82,Vendite_Patch!$I$4:$I$303,"Sì"))</f>
        <v/>
      </c>
      <c r="H82" s="26"/>
      <c r="I82" s="26" t="str">
        <f t="shared" si="5"/>
        <v/>
      </c>
      <c r="J82" s="19"/>
    </row>
    <row r="83" spans="1:10" ht="22" customHeight="1">
      <c r="A83" s="14"/>
      <c r="B83" s="18"/>
      <c r="C83" s="23"/>
      <c r="D83" s="23" t="str">
        <f>IF(B83="","",SUMIFS(Vendite_Patch!$D$4:$D$303,Vendite_Patch!$L$4:$L$303,B83))</f>
        <v/>
      </c>
      <c r="E83" s="23"/>
      <c r="F83" s="23" t="str">
        <f t="shared" si="4"/>
        <v/>
      </c>
      <c r="G83" s="26" t="str">
        <f>IF(B83="","",SUMIFS(Vendite_Patch!$F$4:$F$303,Vendite_Patch!$L$4:$L$303,B83,Vendite_Patch!$I$4:$I$303,"Sì"))</f>
        <v/>
      </c>
      <c r="H83" s="26"/>
      <c r="I83" s="26" t="str">
        <f t="shared" si="5"/>
        <v/>
      </c>
      <c r="J83" s="19"/>
    </row>
    <row r="84" spans="1:10" ht="22" customHeight="1">
      <c r="A84" s="14"/>
      <c r="B84" s="18"/>
      <c r="C84" s="23"/>
      <c r="D84" s="23" t="str">
        <f>IF(B84="","",SUMIFS(Vendite_Patch!$D$4:$D$303,Vendite_Patch!$L$4:$L$303,B84))</f>
        <v/>
      </c>
      <c r="E84" s="23"/>
      <c r="F84" s="23" t="str">
        <f t="shared" si="4"/>
        <v/>
      </c>
      <c r="G84" s="26" t="str">
        <f>IF(B84="","",SUMIFS(Vendite_Patch!$F$4:$F$303,Vendite_Patch!$L$4:$L$303,B84,Vendite_Patch!$I$4:$I$303,"Sì"))</f>
        <v/>
      </c>
      <c r="H84" s="26"/>
      <c r="I84" s="26" t="str">
        <f t="shared" si="5"/>
        <v/>
      </c>
      <c r="J84" s="19"/>
    </row>
    <row r="85" spans="1:10" ht="22" customHeight="1">
      <c r="A85" s="14"/>
      <c r="B85" s="18"/>
      <c r="C85" s="23"/>
      <c r="D85" s="23" t="str">
        <f>IF(B85="","",SUMIFS(Vendite_Patch!$D$4:$D$303,Vendite_Patch!$L$4:$L$303,B85))</f>
        <v/>
      </c>
      <c r="E85" s="23"/>
      <c r="F85" s="23" t="str">
        <f t="shared" si="4"/>
        <v/>
      </c>
      <c r="G85" s="26" t="str">
        <f>IF(B85="","",SUMIFS(Vendite_Patch!$F$4:$F$303,Vendite_Patch!$L$4:$L$303,B85,Vendite_Patch!$I$4:$I$303,"Sì"))</f>
        <v/>
      </c>
      <c r="H85" s="26"/>
      <c r="I85" s="26" t="str">
        <f t="shared" si="5"/>
        <v/>
      </c>
      <c r="J85" s="19"/>
    </row>
    <row r="86" spans="1:10" ht="22" customHeight="1">
      <c r="A86" s="14"/>
      <c r="B86" s="18"/>
      <c r="C86" s="23"/>
      <c r="D86" s="23" t="str">
        <f>IF(B86="","",SUMIFS(Vendite_Patch!$D$4:$D$303,Vendite_Patch!$L$4:$L$303,B86))</f>
        <v/>
      </c>
      <c r="E86" s="23"/>
      <c r="F86" s="23" t="str">
        <f t="shared" si="4"/>
        <v/>
      </c>
      <c r="G86" s="26" t="str">
        <f>IF(B86="","",SUMIFS(Vendite_Patch!$F$4:$F$303,Vendite_Patch!$L$4:$L$303,B86,Vendite_Patch!$I$4:$I$303,"Sì"))</f>
        <v/>
      </c>
      <c r="H86" s="26"/>
      <c r="I86" s="26" t="str">
        <f t="shared" si="5"/>
        <v/>
      </c>
      <c r="J86" s="19"/>
    </row>
    <row r="87" spans="1:10" ht="22" customHeight="1">
      <c r="A87" s="14"/>
      <c r="B87" s="18"/>
      <c r="C87" s="23"/>
      <c r="D87" s="23" t="str">
        <f>IF(B87="","",SUMIFS(Vendite_Patch!$D$4:$D$303,Vendite_Patch!$L$4:$L$303,B87))</f>
        <v/>
      </c>
      <c r="E87" s="23"/>
      <c r="F87" s="23" t="str">
        <f t="shared" si="4"/>
        <v/>
      </c>
      <c r="G87" s="26" t="str">
        <f>IF(B87="","",SUMIFS(Vendite_Patch!$F$4:$F$303,Vendite_Patch!$L$4:$L$303,B87,Vendite_Patch!$I$4:$I$303,"Sì"))</f>
        <v/>
      </c>
      <c r="H87" s="26"/>
      <c r="I87" s="26" t="str">
        <f t="shared" si="5"/>
        <v/>
      </c>
      <c r="J87" s="19"/>
    </row>
    <row r="88" spans="1:10" ht="22" customHeight="1">
      <c r="A88" s="14"/>
      <c r="B88" s="18"/>
      <c r="C88" s="23"/>
      <c r="D88" s="23" t="str">
        <f>IF(B88="","",SUMIFS(Vendite_Patch!$D$4:$D$303,Vendite_Patch!$L$4:$L$303,B88))</f>
        <v/>
      </c>
      <c r="E88" s="23"/>
      <c r="F88" s="23" t="str">
        <f t="shared" si="4"/>
        <v/>
      </c>
      <c r="G88" s="26" t="str">
        <f>IF(B88="","",SUMIFS(Vendite_Patch!$F$4:$F$303,Vendite_Patch!$L$4:$L$303,B88,Vendite_Patch!$I$4:$I$303,"Sì"))</f>
        <v/>
      </c>
      <c r="H88" s="26"/>
      <c r="I88" s="26" t="str">
        <f t="shared" si="5"/>
        <v/>
      </c>
      <c r="J88" s="19"/>
    </row>
    <row r="89" spans="1:10" ht="22" customHeight="1">
      <c r="A89" s="14"/>
      <c r="B89" s="18"/>
      <c r="C89" s="23"/>
      <c r="D89" s="23" t="str">
        <f>IF(B89="","",SUMIFS(Vendite_Patch!$D$4:$D$303,Vendite_Patch!$L$4:$L$303,B89))</f>
        <v/>
      </c>
      <c r="E89" s="23"/>
      <c r="F89" s="23" t="str">
        <f t="shared" si="4"/>
        <v/>
      </c>
      <c r="G89" s="26" t="str">
        <f>IF(B89="","",SUMIFS(Vendite_Patch!$F$4:$F$303,Vendite_Patch!$L$4:$L$303,B89,Vendite_Patch!$I$4:$I$303,"Sì"))</f>
        <v/>
      </c>
      <c r="H89" s="26"/>
      <c r="I89" s="26" t="str">
        <f t="shared" si="5"/>
        <v/>
      </c>
      <c r="J89" s="19"/>
    </row>
    <row r="90" spans="1:10" ht="22" customHeight="1">
      <c r="A90" s="14"/>
      <c r="B90" s="18"/>
      <c r="C90" s="23"/>
      <c r="D90" s="23" t="str">
        <f>IF(B90="","",SUMIFS(Vendite_Patch!$D$4:$D$303,Vendite_Patch!$L$4:$L$303,B90))</f>
        <v/>
      </c>
      <c r="E90" s="23"/>
      <c r="F90" s="23" t="str">
        <f t="shared" si="4"/>
        <v/>
      </c>
      <c r="G90" s="26" t="str">
        <f>IF(B90="","",SUMIFS(Vendite_Patch!$F$4:$F$303,Vendite_Patch!$L$4:$L$303,B90,Vendite_Patch!$I$4:$I$303,"Sì"))</f>
        <v/>
      </c>
      <c r="H90" s="26"/>
      <c r="I90" s="26" t="str">
        <f t="shared" si="5"/>
        <v/>
      </c>
      <c r="J90" s="19"/>
    </row>
    <row r="91" spans="1:10" ht="22" customHeight="1">
      <c r="A91" s="14"/>
      <c r="B91" s="18"/>
      <c r="C91" s="23"/>
      <c r="D91" s="23" t="str">
        <f>IF(B91="","",SUMIFS(Vendite_Patch!$D$4:$D$303,Vendite_Patch!$L$4:$L$303,B91))</f>
        <v/>
      </c>
      <c r="E91" s="23"/>
      <c r="F91" s="23" t="str">
        <f t="shared" si="4"/>
        <v/>
      </c>
      <c r="G91" s="26" t="str">
        <f>IF(B91="","",SUMIFS(Vendite_Patch!$F$4:$F$303,Vendite_Patch!$L$4:$L$303,B91,Vendite_Patch!$I$4:$I$303,"Sì"))</f>
        <v/>
      </c>
      <c r="H91" s="26"/>
      <c r="I91" s="26" t="str">
        <f t="shared" si="5"/>
        <v/>
      </c>
      <c r="J91" s="19"/>
    </row>
    <row r="92" spans="1:10" ht="22" customHeight="1">
      <c r="A92" s="14"/>
      <c r="B92" s="18"/>
      <c r="C92" s="23"/>
      <c r="D92" s="23" t="str">
        <f>IF(B92="","",SUMIFS(Vendite_Patch!$D$4:$D$303,Vendite_Patch!$L$4:$L$303,B92))</f>
        <v/>
      </c>
      <c r="E92" s="23"/>
      <c r="F92" s="23" t="str">
        <f t="shared" si="4"/>
        <v/>
      </c>
      <c r="G92" s="26" t="str">
        <f>IF(B92="","",SUMIFS(Vendite_Patch!$F$4:$F$303,Vendite_Patch!$L$4:$L$303,B92,Vendite_Patch!$I$4:$I$303,"Sì"))</f>
        <v/>
      </c>
      <c r="H92" s="26"/>
      <c r="I92" s="26" t="str">
        <f t="shared" si="5"/>
        <v/>
      </c>
      <c r="J92" s="19"/>
    </row>
    <row r="93" spans="1:10" ht="22" customHeight="1">
      <c r="A93" s="14"/>
      <c r="B93" s="18"/>
      <c r="C93" s="23"/>
      <c r="D93" s="23" t="str">
        <f>IF(B93="","",SUMIFS(Vendite_Patch!$D$4:$D$303,Vendite_Patch!$L$4:$L$303,B93))</f>
        <v/>
      </c>
      <c r="E93" s="23"/>
      <c r="F93" s="23" t="str">
        <f t="shared" si="4"/>
        <v/>
      </c>
      <c r="G93" s="26" t="str">
        <f>IF(B93="","",SUMIFS(Vendite_Patch!$F$4:$F$303,Vendite_Patch!$L$4:$L$303,B93,Vendite_Patch!$I$4:$I$303,"Sì"))</f>
        <v/>
      </c>
      <c r="H93" s="26"/>
      <c r="I93" s="26" t="str">
        <f t="shared" si="5"/>
        <v/>
      </c>
      <c r="J93" s="19"/>
    </row>
    <row r="94" spans="1:10" ht="22" customHeight="1">
      <c r="A94" s="14"/>
      <c r="B94" s="18"/>
      <c r="C94" s="23"/>
      <c r="D94" s="23" t="str">
        <f>IF(B94="","",SUMIFS(Vendite_Patch!$D$4:$D$303,Vendite_Patch!$L$4:$L$303,B94))</f>
        <v/>
      </c>
      <c r="E94" s="23"/>
      <c r="F94" s="23" t="str">
        <f t="shared" si="4"/>
        <v/>
      </c>
      <c r="G94" s="26" t="str">
        <f>IF(B94="","",SUMIFS(Vendite_Patch!$F$4:$F$303,Vendite_Patch!$L$4:$L$303,B94,Vendite_Patch!$I$4:$I$303,"Sì"))</f>
        <v/>
      </c>
      <c r="H94" s="26"/>
      <c r="I94" s="26" t="str">
        <f t="shared" si="5"/>
        <v/>
      </c>
      <c r="J94" s="19"/>
    </row>
    <row r="95" spans="1:10" ht="22" customHeight="1">
      <c r="A95" s="14"/>
      <c r="B95" s="18"/>
      <c r="C95" s="23"/>
      <c r="D95" s="23" t="str">
        <f>IF(B95="","",SUMIFS(Vendite_Patch!$D$4:$D$303,Vendite_Patch!$L$4:$L$303,B95))</f>
        <v/>
      </c>
      <c r="E95" s="23"/>
      <c r="F95" s="23" t="str">
        <f t="shared" si="4"/>
        <v/>
      </c>
      <c r="G95" s="26" t="str">
        <f>IF(B95="","",SUMIFS(Vendite_Patch!$F$4:$F$303,Vendite_Patch!$L$4:$L$303,B95,Vendite_Patch!$I$4:$I$303,"Sì"))</f>
        <v/>
      </c>
      <c r="H95" s="26"/>
      <c r="I95" s="26" t="str">
        <f t="shared" si="5"/>
        <v/>
      </c>
      <c r="J95" s="19"/>
    </row>
    <row r="96" spans="1:10" ht="22" customHeight="1">
      <c r="A96" s="14"/>
      <c r="B96" s="18"/>
      <c r="C96" s="23"/>
      <c r="D96" s="23" t="str">
        <f>IF(B96="","",SUMIFS(Vendite_Patch!$D$4:$D$303,Vendite_Patch!$L$4:$L$303,B96))</f>
        <v/>
      </c>
      <c r="E96" s="23"/>
      <c r="F96" s="23" t="str">
        <f t="shared" si="4"/>
        <v/>
      </c>
      <c r="G96" s="26" t="str">
        <f>IF(B96="","",SUMIFS(Vendite_Patch!$F$4:$F$303,Vendite_Patch!$L$4:$L$303,B96,Vendite_Patch!$I$4:$I$303,"Sì"))</f>
        <v/>
      </c>
      <c r="H96" s="26"/>
      <c r="I96" s="26" t="str">
        <f t="shared" si="5"/>
        <v/>
      </c>
      <c r="J96" s="19"/>
    </row>
    <row r="97" spans="1:10" ht="22" customHeight="1">
      <c r="A97" s="14"/>
      <c r="B97" s="18"/>
      <c r="C97" s="23"/>
      <c r="D97" s="23" t="str">
        <f>IF(B97="","",SUMIFS(Vendite_Patch!$D$4:$D$303,Vendite_Patch!$L$4:$L$303,B97))</f>
        <v/>
      </c>
      <c r="E97" s="23"/>
      <c r="F97" s="23" t="str">
        <f t="shared" si="4"/>
        <v/>
      </c>
      <c r="G97" s="26" t="str">
        <f>IF(B97="","",SUMIFS(Vendite_Patch!$F$4:$F$303,Vendite_Patch!$L$4:$L$303,B97,Vendite_Patch!$I$4:$I$303,"Sì"))</f>
        <v/>
      </c>
      <c r="H97" s="26"/>
      <c r="I97" s="26" t="str">
        <f t="shared" si="5"/>
        <v/>
      </c>
      <c r="J97" s="19"/>
    </row>
    <row r="98" spans="1:10" ht="22" customHeight="1">
      <c r="A98" s="14"/>
      <c r="B98" s="18"/>
      <c r="C98" s="23"/>
      <c r="D98" s="23" t="str">
        <f>IF(B98="","",SUMIFS(Vendite_Patch!$D$4:$D$303,Vendite_Patch!$L$4:$L$303,B98))</f>
        <v/>
      </c>
      <c r="E98" s="23"/>
      <c r="F98" s="23" t="str">
        <f t="shared" si="4"/>
        <v/>
      </c>
      <c r="G98" s="26" t="str">
        <f>IF(B98="","",SUMIFS(Vendite_Patch!$F$4:$F$303,Vendite_Patch!$L$4:$L$303,B98,Vendite_Patch!$I$4:$I$303,"Sì"))</f>
        <v/>
      </c>
      <c r="H98" s="26"/>
      <c r="I98" s="26" t="str">
        <f t="shared" si="5"/>
        <v/>
      </c>
      <c r="J98" s="19"/>
    </row>
    <row r="99" spans="1:10" ht="22" customHeight="1">
      <c r="A99" s="14"/>
      <c r="B99" s="18"/>
      <c r="C99" s="23"/>
      <c r="D99" s="23" t="str">
        <f>IF(B99="","",SUMIFS(Vendite_Patch!$D$4:$D$303,Vendite_Patch!$L$4:$L$303,B99))</f>
        <v/>
      </c>
      <c r="E99" s="23"/>
      <c r="F99" s="23" t="str">
        <f t="shared" si="4"/>
        <v/>
      </c>
      <c r="G99" s="26" t="str">
        <f>IF(B99="","",SUMIFS(Vendite_Patch!$F$4:$F$303,Vendite_Patch!$L$4:$L$303,B99,Vendite_Patch!$I$4:$I$303,"Sì"))</f>
        <v/>
      </c>
      <c r="H99" s="26"/>
      <c r="I99" s="26" t="str">
        <f t="shared" si="5"/>
        <v/>
      </c>
      <c r="J99" s="19"/>
    </row>
    <row r="100" spans="1:10" ht="22" customHeight="1">
      <c r="A100" s="14"/>
      <c r="B100" s="18"/>
      <c r="C100" s="23"/>
      <c r="D100" s="23" t="str">
        <f>IF(B100="","",SUMIFS(Vendite_Patch!$D$4:$D$303,Vendite_Patch!$L$4:$L$303,B100))</f>
        <v/>
      </c>
      <c r="E100" s="23"/>
      <c r="F100" s="23" t="str">
        <f t="shared" ref="F100:F131" si="6">IF(B100="","",MAX(C100-D100-E100,0))</f>
        <v/>
      </c>
      <c r="G100" s="26" t="str">
        <f>IF(B100="","",SUMIFS(Vendite_Patch!$F$4:$F$303,Vendite_Patch!$L$4:$L$303,B100,Vendite_Patch!$I$4:$I$303,"Sì"))</f>
        <v/>
      </c>
      <c r="H100" s="26"/>
      <c r="I100" s="26" t="str">
        <f t="shared" ref="I100:I131" si="7">IF(B100="","",MAX(G100-H100,0))</f>
        <v/>
      </c>
      <c r="J100" s="19"/>
    </row>
    <row r="101" spans="1:10" ht="22" customHeight="1">
      <c r="A101" s="14"/>
      <c r="B101" s="18"/>
      <c r="C101" s="23"/>
      <c r="D101" s="23" t="str">
        <f>IF(B101="","",SUMIFS(Vendite_Patch!$D$4:$D$303,Vendite_Patch!$L$4:$L$303,B101))</f>
        <v/>
      </c>
      <c r="E101" s="23"/>
      <c r="F101" s="23" t="str">
        <f t="shared" si="6"/>
        <v/>
      </c>
      <c r="G101" s="26" t="str">
        <f>IF(B101="","",SUMIFS(Vendite_Patch!$F$4:$F$303,Vendite_Patch!$L$4:$L$303,B101,Vendite_Patch!$I$4:$I$303,"Sì"))</f>
        <v/>
      </c>
      <c r="H101" s="26"/>
      <c r="I101" s="26" t="str">
        <f t="shared" si="7"/>
        <v/>
      </c>
      <c r="J101" s="19"/>
    </row>
    <row r="102" spans="1:10" ht="22" customHeight="1">
      <c r="A102" s="14"/>
      <c r="B102" s="18"/>
      <c r="C102" s="23"/>
      <c r="D102" s="23" t="str">
        <f>IF(B102="","",SUMIFS(Vendite_Patch!$D$4:$D$303,Vendite_Patch!$L$4:$L$303,B102))</f>
        <v/>
      </c>
      <c r="E102" s="23"/>
      <c r="F102" s="23" t="str">
        <f t="shared" si="6"/>
        <v/>
      </c>
      <c r="G102" s="26" t="str">
        <f>IF(B102="","",SUMIFS(Vendite_Patch!$F$4:$F$303,Vendite_Patch!$L$4:$L$303,B102,Vendite_Patch!$I$4:$I$303,"Sì"))</f>
        <v/>
      </c>
      <c r="H102" s="26"/>
      <c r="I102" s="26" t="str">
        <f t="shared" si="7"/>
        <v/>
      </c>
      <c r="J102" s="19"/>
    </row>
    <row r="103" spans="1:10" ht="22" customHeight="1">
      <c r="A103" s="14"/>
      <c r="B103" s="18"/>
      <c r="C103" s="23"/>
      <c r="D103" s="23" t="str">
        <f>IF(B103="","",SUMIFS(Vendite_Patch!$D$4:$D$303,Vendite_Patch!$L$4:$L$303,B103))</f>
        <v/>
      </c>
      <c r="E103" s="23"/>
      <c r="F103" s="23" t="str">
        <f t="shared" si="6"/>
        <v/>
      </c>
      <c r="G103" s="26" t="str">
        <f>IF(B103="","",SUMIFS(Vendite_Patch!$F$4:$F$303,Vendite_Patch!$L$4:$L$303,B103,Vendite_Patch!$I$4:$I$303,"Sì"))</f>
        <v/>
      </c>
      <c r="H103" s="26"/>
      <c r="I103" s="26" t="str">
        <f t="shared" si="7"/>
        <v/>
      </c>
      <c r="J103" s="19"/>
    </row>
    <row r="104" spans="1:10" ht="22" customHeight="1">
      <c r="A104" s="14"/>
      <c r="B104" s="18"/>
      <c r="C104" s="23"/>
      <c r="D104" s="23" t="str">
        <f>IF(B104="","",SUMIFS(Vendite_Patch!$D$4:$D$303,Vendite_Patch!$L$4:$L$303,B104))</f>
        <v/>
      </c>
      <c r="E104" s="23"/>
      <c r="F104" s="23" t="str">
        <f t="shared" si="6"/>
        <v/>
      </c>
      <c r="G104" s="26" t="str">
        <f>IF(B104="","",SUMIFS(Vendite_Patch!$F$4:$F$303,Vendite_Patch!$L$4:$L$303,B104,Vendite_Patch!$I$4:$I$303,"Sì"))</f>
        <v/>
      </c>
      <c r="H104" s="26"/>
      <c r="I104" s="26" t="str">
        <f t="shared" si="7"/>
        <v/>
      </c>
      <c r="J104" s="19"/>
    </row>
    <row r="105" spans="1:10" ht="22" customHeight="1">
      <c r="A105" s="14"/>
      <c r="B105" s="18"/>
      <c r="C105" s="23"/>
      <c r="D105" s="23" t="str">
        <f>IF(B105="","",SUMIFS(Vendite_Patch!$D$4:$D$303,Vendite_Patch!$L$4:$L$303,B105))</f>
        <v/>
      </c>
      <c r="E105" s="23"/>
      <c r="F105" s="23" t="str">
        <f t="shared" si="6"/>
        <v/>
      </c>
      <c r="G105" s="26" t="str">
        <f>IF(B105="","",SUMIFS(Vendite_Patch!$F$4:$F$303,Vendite_Patch!$L$4:$L$303,B105,Vendite_Patch!$I$4:$I$303,"Sì"))</f>
        <v/>
      </c>
      <c r="H105" s="26"/>
      <c r="I105" s="26" t="str">
        <f t="shared" si="7"/>
        <v/>
      </c>
      <c r="J105" s="19"/>
    </row>
    <row r="106" spans="1:10" ht="22" customHeight="1">
      <c r="A106" s="14"/>
      <c r="B106" s="18"/>
      <c r="C106" s="23"/>
      <c r="D106" s="23" t="str">
        <f>IF(B106="","",SUMIFS(Vendite_Patch!$D$4:$D$303,Vendite_Patch!$L$4:$L$303,B106))</f>
        <v/>
      </c>
      <c r="E106" s="23"/>
      <c r="F106" s="23" t="str">
        <f t="shared" si="6"/>
        <v/>
      </c>
      <c r="G106" s="26" t="str">
        <f>IF(B106="","",SUMIFS(Vendite_Patch!$F$4:$F$303,Vendite_Patch!$L$4:$L$303,B106,Vendite_Patch!$I$4:$I$303,"Sì"))</f>
        <v/>
      </c>
      <c r="H106" s="26"/>
      <c r="I106" s="26" t="str">
        <f t="shared" si="7"/>
        <v/>
      </c>
      <c r="J106" s="19"/>
    </row>
    <row r="107" spans="1:10" ht="22" customHeight="1">
      <c r="A107" s="14"/>
      <c r="B107" s="18"/>
      <c r="C107" s="23"/>
      <c r="D107" s="23" t="str">
        <f>IF(B107="","",SUMIFS(Vendite_Patch!$D$4:$D$303,Vendite_Patch!$L$4:$L$303,B107))</f>
        <v/>
      </c>
      <c r="E107" s="23"/>
      <c r="F107" s="23" t="str">
        <f t="shared" si="6"/>
        <v/>
      </c>
      <c r="G107" s="26" t="str">
        <f>IF(B107="","",SUMIFS(Vendite_Patch!$F$4:$F$303,Vendite_Patch!$L$4:$L$303,B107,Vendite_Patch!$I$4:$I$303,"Sì"))</f>
        <v/>
      </c>
      <c r="H107" s="26"/>
      <c r="I107" s="26" t="str">
        <f t="shared" si="7"/>
        <v/>
      </c>
      <c r="J107" s="19"/>
    </row>
    <row r="108" spans="1:10" ht="22" customHeight="1">
      <c r="A108" s="14"/>
      <c r="B108" s="18"/>
      <c r="C108" s="23"/>
      <c r="D108" s="23" t="str">
        <f>IF(B108="","",SUMIFS(Vendite_Patch!$D$4:$D$303,Vendite_Patch!$L$4:$L$303,B108))</f>
        <v/>
      </c>
      <c r="E108" s="23"/>
      <c r="F108" s="23" t="str">
        <f t="shared" si="6"/>
        <v/>
      </c>
      <c r="G108" s="26" t="str">
        <f>IF(B108="","",SUMIFS(Vendite_Patch!$F$4:$F$303,Vendite_Patch!$L$4:$L$303,B108,Vendite_Patch!$I$4:$I$303,"Sì"))</f>
        <v/>
      </c>
      <c r="H108" s="26"/>
      <c r="I108" s="26" t="str">
        <f t="shared" si="7"/>
        <v/>
      </c>
      <c r="J108" s="19"/>
    </row>
    <row r="109" spans="1:10" ht="22" customHeight="1">
      <c r="A109" s="14"/>
      <c r="B109" s="18"/>
      <c r="C109" s="23"/>
      <c r="D109" s="23" t="str">
        <f>IF(B109="","",SUMIFS(Vendite_Patch!$D$4:$D$303,Vendite_Patch!$L$4:$L$303,B109))</f>
        <v/>
      </c>
      <c r="E109" s="23"/>
      <c r="F109" s="23" t="str">
        <f t="shared" si="6"/>
        <v/>
      </c>
      <c r="G109" s="26" t="str">
        <f>IF(B109="","",SUMIFS(Vendite_Patch!$F$4:$F$303,Vendite_Patch!$L$4:$L$303,B109,Vendite_Patch!$I$4:$I$303,"Sì"))</f>
        <v/>
      </c>
      <c r="H109" s="26"/>
      <c r="I109" s="26" t="str">
        <f t="shared" si="7"/>
        <v/>
      </c>
      <c r="J109" s="19"/>
    </row>
    <row r="110" spans="1:10" ht="22" customHeight="1">
      <c r="A110" s="14"/>
      <c r="B110" s="18"/>
      <c r="C110" s="23"/>
      <c r="D110" s="23" t="str">
        <f>IF(B110="","",SUMIFS(Vendite_Patch!$D$4:$D$303,Vendite_Patch!$L$4:$L$303,B110))</f>
        <v/>
      </c>
      <c r="E110" s="23"/>
      <c r="F110" s="23" t="str">
        <f t="shared" si="6"/>
        <v/>
      </c>
      <c r="G110" s="26" t="str">
        <f>IF(B110="","",SUMIFS(Vendite_Patch!$F$4:$F$303,Vendite_Patch!$L$4:$L$303,B110,Vendite_Patch!$I$4:$I$303,"Sì"))</f>
        <v/>
      </c>
      <c r="H110" s="26"/>
      <c r="I110" s="26" t="str">
        <f t="shared" si="7"/>
        <v/>
      </c>
      <c r="J110" s="19"/>
    </row>
    <row r="111" spans="1:10" ht="22" customHeight="1">
      <c r="A111" s="14"/>
      <c r="B111" s="18"/>
      <c r="C111" s="23"/>
      <c r="D111" s="23" t="str">
        <f>IF(B111="","",SUMIFS(Vendite_Patch!$D$4:$D$303,Vendite_Patch!$L$4:$L$303,B111))</f>
        <v/>
      </c>
      <c r="E111" s="23"/>
      <c r="F111" s="23" t="str">
        <f t="shared" si="6"/>
        <v/>
      </c>
      <c r="G111" s="26" t="str">
        <f>IF(B111="","",SUMIFS(Vendite_Patch!$F$4:$F$303,Vendite_Patch!$L$4:$L$303,B111,Vendite_Patch!$I$4:$I$303,"Sì"))</f>
        <v/>
      </c>
      <c r="H111" s="26"/>
      <c r="I111" s="26" t="str">
        <f t="shared" si="7"/>
        <v/>
      </c>
      <c r="J111" s="19"/>
    </row>
    <row r="112" spans="1:10" ht="22" customHeight="1">
      <c r="A112" s="14"/>
      <c r="B112" s="18"/>
      <c r="C112" s="23"/>
      <c r="D112" s="23" t="str">
        <f>IF(B112="","",SUMIFS(Vendite_Patch!$D$4:$D$303,Vendite_Patch!$L$4:$L$303,B112))</f>
        <v/>
      </c>
      <c r="E112" s="23"/>
      <c r="F112" s="23" t="str">
        <f t="shared" si="6"/>
        <v/>
      </c>
      <c r="G112" s="26" t="str">
        <f>IF(B112="","",SUMIFS(Vendite_Patch!$F$4:$F$303,Vendite_Patch!$L$4:$L$303,B112,Vendite_Patch!$I$4:$I$303,"Sì"))</f>
        <v/>
      </c>
      <c r="H112" s="26"/>
      <c r="I112" s="26" t="str">
        <f t="shared" si="7"/>
        <v/>
      </c>
      <c r="J112" s="19"/>
    </row>
    <row r="113" spans="1:10" ht="22" customHeight="1">
      <c r="A113" s="14"/>
      <c r="B113" s="18"/>
      <c r="C113" s="23"/>
      <c r="D113" s="23" t="str">
        <f>IF(B113="","",SUMIFS(Vendite_Patch!$D$4:$D$303,Vendite_Patch!$L$4:$L$303,B113))</f>
        <v/>
      </c>
      <c r="E113" s="23"/>
      <c r="F113" s="23" t="str">
        <f t="shared" si="6"/>
        <v/>
      </c>
      <c r="G113" s="26" t="str">
        <f>IF(B113="","",SUMIFS(Vendite_Patch!$F$4:$F$303,Vendite_Patch!$L$4:$L$303,B113,Vendite_Patch!$I$4:$I$303,"Sì"))</f>
        <v/>
      </c>
      <c r="H113" s="26"/>
      <c r="I113" s="26" t="str">
        <f t="shared" si="7"/>
        <v/>
      </c>
      <c r="J113" s="19"/>
    </row>
    <row r="114" spans="1:10" ht="22" customHeight="1">
      <c r="A114" s="14"/>
      <c r="B114" s="18"/>
      <c r="C114" s="23"/>
      <c r="D114" s="23" t="str">
        <f>IF(B114="","",SUMIFS(Vendite_Patch!$D$4:$D$303,Vendite_Patch!$L$4:$L$303,B114))</f>
        <v/>
      </c>
      <c r="E114" s="23"/>
      <c r="F114" s="23" t="str">
        <f t="shared" si="6"/>
        <v/>
      </c>
      <c r="G114" s="26" t="str">
        <f>IF(B114="","",SUMIFS(Vendite_Patch!$F$4:$F$303,Vendite_Patch!$L$4:$L$303,B114,Vendite_Patch!$I$4:$I$303,"Sì"))</f>
        <v/>
      </c>
      <c r="H114" s="26"/>
      <c r="I114" s="26" t="str">
        <f t="shared" si="7"/>
        <v/>
      </c>
      <c r="J114" s="19"/>
    </row>
    <row r="115" spans="1:10" ht="22" customHeight="1">
      <c r="A115" s="14"/>
      <c r="B115" s="18"/>
      <c r="C115" s="23"/>
      <c r="D115" s="23" t="str">
        <f>IF(B115="","",SUMIFS(Vendite_Patch!$D$4:$D$303,Vendite_Patch!$L$4:$L$303,B115))</f>
        <v/>
      </c>
      <c r="E115" s="23"/>
      <c r="F115" s="23" t="str">
        <f t="shared" si="6"/>
        <v/>
      </c>
      <c r="G115" s="26" t="str">
        <f>IF(B115="","",SUMIFS(Vendite_Patch!$F$4:$F$303,Vendite_Patch!$L$4:$L$303,B115,Vendite_Patch!$I$4:$I$303,"Sì"))</f>
        <v/>
      </c>
      <c r="H115" s="26"/>
      <c r="I115" s="26" t="str">
        <f t="shared" si="7"/>
        <v/>
      </c>
      <c r="J115" s="19"/>
    </row>
    <row r="116" spans="1:10" ht="22" customHeight="1">
      <c r="A116" s="14"/>
      <c r="B116" s="18"/>
      <c r="C116" s="23"/>
      <c r="D116" s="23" t="str">
        <f>IF(B116="","",SUMIFS(Vendite_Patch!$D$4:$D$303,Vendite_Patch!$L$4:$L$303,B116))</f>
        <v/>
      </c>
      <c r="E116" s="23"/>
      <c r="F116" s="23" t="str">
        <f t="shared" si="6"/>
        <v/>
      </c>
      <c r="G116" s="26" t="str">
        <f>IF(B116="","",SUMIFS(Vendite_Patch!$F$4:$F$303,Vendite_Patch!$L$4:$L$303,B116,Vendite_Patch!$I$4:$I$303,"Sì"))</f>
        <v/>
      </c>
      <c r="H116" s="26"/>
      <c r="I116" s="26" t="str">
        <f t="shared" si="7"/>
        <v/>
      </c>
      <c r="J116" s="19"/>
    </row>
    <row r="117" spans="1:10" ht="22" customHeight="1">
      <c r="A117" s="14"/>
      <c r="B117" s="18"/>
      <c r="C117" s="23"/>
      <c r="D117" s="23" t="str">
        <f>IF(B117="","",SUMIFS(Vendite_Patch!$D$4:$D$303,Vendite_Patch!$L$4:$L$303,B117))</f>
        <v/>
      </c>
      <c r="E117" s="23"/>
      <c r="F117" s="23" t="str">
        <f t="shared" si="6"/>
        <v/>
      </c>
      <c r="G117" s="26" t="str">
        <f>IF(B117="","",SUMIFS(Vendite_Patch!$F$4:$F$303,Vendite_Patch!$L$4:$L$303,B117,Vendite_Patch!$I$4:$I$303,"Sì"))</f>
        <v/>
      </c>
      <c r="H117" s="26"/>
      <c r="I117" s="26" t="str">
        <f t="shared" si="7"/>
        <v/>
      </c>
      <c r="J117" s="19"/>
    </row>
    <row r="118" spans="1:10" ht="22" customHeight="1">
      <c r="A118" s="14"/>
      <c r="B118" s="18"/>
      <c r="C118" s="23"/>
      <c r="D118" s="23" t="str">
        <f>IF(B118="","",SUMIFS(Vendite_Patch!$D$4:$D$303,Vendite_Patch!$L$4:$L$303,B118))</f>
        <v/>
      </c>
      <c r="E118" s="23"/>
      <c r="F118" s="23" t="str">
        <f t="shared" si="6"/>
        <v/>
      </c>
      <c r="G118" s="26" t="str">
        <f>IF(B118="","",SUMIFS(Vendite_Patch!$F$4:$F$303,Vendite_Patch!$L$4:$L$303,B118,Vendite_Patch!$I$4:$I$303,"Sì"))</f>
        <v/>
      </c>
      <c r="H118" s="26"/>
      <c r="I118" s="26" t="str">
        <f t="shared" si="7"/>
        <v/>
      </c>
      <c r="J118" s="19"/>
    </row>
    <row r="119" spans="1:10" ht="22" customHeight="1">
      <c r="A119" s="14"/>
      <c r="B119" s="18"/>
      <c r="C119" s="23"/>
      <c r="D119" s="23" t="str">
        <f>IF(B119="","",SUMIFS(Vendite_Patch!$D$4:$D$303,Vendite_Patch!$L$4:$L$303,B119))</f>
        <v/>
      </c>
      <c r="E119" s="23"/>
      <c r="F119" s="23" t="str">
        <f t="shared" si="6"/>
        <v/>
      </c>
      <c r="G119" s="26" t="str">
        <f>IF(B119="","",SUMIFS(Vendite_Patch!$F$4:$F$303,Vendite_Patch!$L$4:$L$303,B119,Vendite_Patch!$I$4:$I$303,"Sì"))</f>
        <v/>
      </c>
      <c r="H119" s="26"/>
      <c r="I119" s="26" t="str">
        <f t="shared" si="7"/>
        <v/>
      </c>
      <c r="J119" s="19"/>
    </row>
    <row r="120" spans="1:10" ht="22" customHeight="1">
      <c r="A120" s="14"/>
      <c r="B120" s="18"/>
      <c r="C120" s="23"/>
      <c r="D120" s="23" t="str">
        <f>IF(B120="","",SUMIFS(Vendite_Patch!$D$4:$D$303,Vendite_Patch!$L$4:$L$303,B120))</f>
        <v/>
      </c>
      <c r="E120" s="23"/>
      <c r="F120" s="23" t="str">
        <f t="shared" si="6"/>
        <v/>
      </c>
      <c r="G120" s="26" t="str">
        <f>IF(B120="","",SUMIFS(Vendite_Patch!$F$4:$F$303,Vendite_Patch!$L$4:$L$303,B120,Vendite_Patch!$I$4:$I$303,"Sì"))</f>
        <v/>
      </c>
      <c r="H120" s="26"/>
      <c r="I120" s="26" t="str">
        <f t="shared" si="7"/>
        <v/>
      </c>
      <c r="J120" s="19"/>
    </row>
    <row r="121" spans="1:10" ht="22" customHeight="1">
      <c r="A121" s="14"/>
      <c r="B121" s="18"/>
      <c r="C121" s="23"/>
      <c r="D121" s="23" t="str">
        <f>IF(B121="","",SUMIFS(Vendite_Patch!$D$4:$D$303,Vendite_Patch!$L$4:$L$303,B121))</f>
        <v/>
      </c>
      <c r="E121" s="23"/>
      <c r="F121" s="23" t="str">
        <f t="shared" si="6"/>
        <v/>
      </c>
      <c r="G121" s="26" t="str">
        <f>IF(B121="","",SUMIFS(Vendite_Patch!$F$4:$F$303,Vendite_Patch!$L$4:$L$303,B121,Vendite_Patch!$I$4:$I$303,"Sì"))</f>
        <v/>
      </c>
      <c r="H121" s="26"/>
      <c r="I121" s="26" t="str">
        <f t="shared" si="7"/>
        <v/>
      </c>
      <c r="J121" s="19"/>
    </row>
    <row r="122" spans="1:10" ht="22" customHeight="1">
      <c r="A122" s="14"/>
      <c r="B122" s="18"/>
      <c r="C122" s="23"/>
      <c r="D122" s="23" t="str">
        <f>IF(B122="","",SUMIFS(Vendite_Patch!$D$4:$D$303,Vendite_Patch!$L$4:$L$303,B122))</f>
        <v/>
      </c>
      <c r="E122" s="23"/>
      <c r="F122" s="23" t="str">
        <f t="shared" si="6"/>
        <v/>
      </c>
      <c r="G122" s="26" t="str">
        <f>IF(B122="","",SUMIFS(Vendite_Patch!$F$4:$F$303,Vendite_Patch!$L$4:$L$303,B122,Vendite_Patch!$I$4:$I$303,"Sì"))</f>
        <v/>
      </c>
      <c r="H122" s="26"/>
      <c r="I122" s="26" t="str">
        <f t="shared" si="7"/>
        <v/>
      </c>
      <c r="J122" s="19"/>
    </row>
    <row r="123" spans="1:10" ht="22" customHeight="1">
      <c r="A123" s="14"/>
      <c r="B123" s="18"/>
      <c r="C123" s="23"/>
      <c r="D123" s="23" t="str">
        <f>IF(B123="","",SUMIFS(Vendite_Patch!$D$4:$D$303,Vendite_Patch!$L$4:$L$303,B123))</f>
        <v/>
      </c>
      <c r="E123" s="23"/>
      <c r="F123" s="23" t="str">
        <f t="shared" si="6"/>
        <v/>
      </c>
      <c r="G123" s="26" t="str">
        <f>IF(B123="","",SUMIFS(Vendite_Patch!$F$4:$F$303,Vendite_Patch!$L$4:$L$303,B123,Vendite_Patch!$I$4:$I$303,"Sì"))</f>
        <v/>
      </c>
      <c r="H123" s="26"/>
      <c r="I123" s="26" t="str">
        <f t="shared" si="7"/>
        <v/>
      </c>
      <c r="J123" s="19"/>
    </row>
    <row r="124" spans="1:10" ht="22" customHeight="1">
      <c r="A124" s="14"/>
      <c r="B124" s="18"/>
      <c r="C124" s="23"/>
      <c r="D124" s="23" t="str">
        <f>IF(B124="","",SUMIFS(Vendite_Patch!$D$4:$D$303,Vendite_Patch!$L$4:$L$303,B124))</f>
        <v/>
      </c>
      <c r="E124" s="23"/>
      <c r="F124" s="23" t="str">
        <f t="shared" si="6"/>
        <v/>
      </c>
      <c r="G124" s="26" t="str">
        <f>IF(B124="","",SUMIFS(Vendite_Patch!$F$4:$F$303,Vendite_Patch!$L$4:$L$303,B124,Vendite_Patch!$I$4:$I$303,"Sì"))</f>
        <v/>
      </c>
      <c r="H124" s="26"/>
      <c r="I124" s="26" t="str">
        <f t="shared" si="7"/>
        <v/>
      </c>
      <c r="J124" s="19"/>
    </row>
    <row r="125" spans="1:10" ht="22" customHeight="1">
      <c r="A125" s="14"/>
      <c r="B125" s="18"/>
      <c r="C125" s="23"/>
      <c r="D125" s="23" t="str">
        <f>IF(B125="","",SUMIFS(Vendite_Patch!$D$4:$D$303,Vendite_Patch!$L$4:$L$303,B125))</f>
        <v/>
      </c>
      <c r="E125" s="23"/>
      <c r="F125" s="23" t="str">
        <f t="shared" si="6"/>
        <v/>
      </c>
      <c r="G125" s="26" t="str">
        <f>IF(B125="","",SUMIFS(Vendite_Patch!$F$4:$F$303,Vendite_Patch!$L$4:$L$303,B125,Vendite_Patch!$I$4:$I$303,"Sì"))</f>
        <v/>
      </c>
      <c r="H125" s="26"/>
      <c r="I125" s="26" t="str">
        <f t="shared" si="7"/>
        <v/>
      </c>
      <c r="J125" s="19"/>
    </row>
    <row r="126" spans="1:10" ht="22" customHeight="1">
      <c r="A126" s="14"/>
      <c r="B126" s="18"/>
      <c r="C126" s="23"/>
      <c r="D126" s="23" t="str">
        <f>IF(B126="","",SUMIFS(Vendite_Patch!$D$4:$D$303,Vendite_Patch!$L$4:$L$303,B126))</f>
        <v/>
      </c>
      <c r="E126" s="23"/>
      <c r="F126" s="23" t="str">
        <f t="shared" si="6"/>
        <v/>
      </c>
      <c r="G126" s="26" t="str">
        <f>IF(B126="","",SUMIFS(Vendite_Patch!$F$4:$F$303,Vendite_Patch!$L$4:$L$303,B126,Vendite_Patch!$I$4:$I$303,"Sì"))</f>
        <v/>
      </c>
      <c r="H126" s="26"/>
      <c r="I126" s="26" t="str">
        <f t="shared" si="7"/>
        <v/>
      </c>
      <c r="J126" s="19"/>
    </row>
    <row r="127" spans="1:10" ht="22" customHeight="1">
      <c r="A127" s="14"/>
      <c r="B127" s="18"/>
      <c r="C127" s="23"/>
      <c r="D127" s="23" t="str">
        <f>IF(B127="","",SUMIFS(Vendite_Patch!$D$4:$D$303,Vendite_Patch!$L$4:$L$303,B127))</f>
        <v/>
      </c>
      <c r="E127" s="23"/>
      <c r="F127" s="23" t="str">
        <f t="shared" si="6"/>
        <v/>
      </c>
      <c r="G127" s="26" t="str">
        <f>IF(B127="","",SUMIFS(Vendite_Patch!$F$4:$F$303,Vendite_Patch!$L$4:$L$303,B127,Vendite_Patch!$I$4:$I$303,"Sì"))</f>
        <v/>
      </c>
      <c r="H127" s="26"/>
      <c r="I127" s="26" t="str">
        <f t="shared" si="7"/>
        <v/>
      </c>
      <c r="J127" s="19"/>
    </row>
    <row r="128" spans="1:10" ht="22" customHeight="1">
      <c r="A128" s="14"/>
      <c r="B128" s="18"/>
      <c r="C128" s="23"/>
      <c r="D128" s="23" t="str">
        <f>IF(B128="","",SUMIFS(Vendite_Patch!$D$4:$D$303,Vendite_Patch!$L$4:$L$303,B128))</f>
        <v/>
      </c>
      <c r="E128" s="23"/>
      <c r="F128" s="23" t="str">
        <f t="shared" si="6"/>
        <v/>
      </c>
      <c r="G128" s="26" t="str">
        <f>IF(B128="","",SUMIFS(Vendite_Patch!$F$4:$F$303,Vendite_Patch!$L$4:$L$303,B128,Vendite_Patch!$I$4:$I$303,"Sì"))</f>
        <v/>
      </c>
      <c r="H128" s="26"/>
      <c r="I128" s="26" t="str">
        <f t="shared" si="7"/>
        <v/>
      </c>
      <c r="J128" s="19"/>
    </row>
    <row r="129" spans="1:10" ht="22" customHeight="1">
      <c r="A129" s="14"/>
      <c r="B129" s="18"/>
      <c r="C129" s="23"/>
      <c r="D129" s="23" t="str">
        <f>IF(B129="","",SUMIFS(Vendite_Patch!$D$4:$D$303,Vendite_Patch!$L$4:$L$303,B129))</f>
        <v/>
      </c>
      <c r="E129" s="23"/>
      <c r="F129" s="23" t="str">
        <f t="shared" si="6"/>
        <v/>
      </c>
      <c r="G129" s="26" t="str">
        <f>IF(B129="","",SUMIFS(Vendite_Patch!$F$4:$F$303,Vendite_Patch!$L$4:$L$303,B129,Vendite_Patch!$I$4:$I$303,"Sì"))</f>
        <v/>
      </c>
      <c r="H129" s="26"/>
      <c r="I129" s="26" t="str">
        <f t="shared" si="7"/>
        <v/>
      </c>
      <c r="J129" s="19"/>
    </row>
    <row r="130" spans="1:10" ht="22" customHeight="1">
      <c r="A130" s="14"/>
      <c r="B130" s="18"/>
      <c r="C130" s="23"/>
      <c r="D130" s="23" t="str">
        <f>IF(B130="","",SUMIFS(Vendite_Patch!$D$4:$D$303,Vendite_Patch!$L$4:$L$303,B130))</f>
        <v/>
      </c>
      <c r="E130" s="23"/>
      <c r="F130" s="23" t="str">
        <f t="shared" si="6"/>
        <v/>
      </c>
      <c r="G130" s="26" t="str">
        <f>IF(B130="","",SUMIFS(Vendite_Patch!$F$4:$F$303,Vendite_Patch!$L$4:$L$303,B130,Vendite_Patch!$I$4:$I$303,"Sì"))</f>
        <v/>
      </c>
      <c r="H130" s="26"/>
      <c r="I130" s="26" t="str">
        <f t="shared" si="7"/>
        <v/>
      </c>
      <c r="J130" s="19"/>
    </row>
    <row r="131" spans="1:10" ht="22" customHeight="1">
      <c r="A131" s="14"/>
      <c r="B131" s="18"/>
      <c r="C131" s="23"/>
      <c r="D131" s="23" t="str">
        <f>IF(B131="","",SUMIFS(Vendite_Patch!$D$4:$D$303,Vendite_Patch!$L$4:$L$303,B131))</f>
        <v/>
      </c>
      <c r="E131" s="23"/>
      <c r="F131" s="23" t="str">
        <f t="shared" si="6"/>
        <v/>
      </c>
      <c r="G131" s="26" t="str">
        <f>IF(B131="","",SUMIFS(Vendite_Patch!$F$4:$F$303,Vendite_Patch!$L$4:$L$303,B131,Vendite_Patch!$I$4:$I$303,"Sì"))</f>
        <v/>
      </c>
      <c r="H131" s="26"/>
      <c r="I131" s="26" t="str">
        <f t="shared" si="7"/>
        <v/>
      </c>
      <c r="J131" s="19"/>
    </row>
    <row r="132" spans="1:10" ht="22" customHeight="1">
      <c r="A132" s="14"/>
      <c r="B132" s="18"/>
      <c r="C132" s="23"/>
      <c r="D132" s="23" t="str">
        <f>IF(B132="","",SUMIFS(Vendite_Patch!$D$4:$D$303,Vendite_Patch!$L$4:$L$303,B132))</f>
        <v/>
      </c>
      <c r="E132" s="23"/>
      <c r="F132" s="23" t="str">
        <f t="shared" ref="F132:F163" si="8">IF(B132="","",MAX(C132-D132-E132,0))</f>
        <v/>
      </c>
      <c r="G132" s="26" t="str">
        <f>IF(B132="","",SUMIFS(Vendite_Patch!$F$4:$F$303,Vendite_Patch!$L$4:$L$303,B132,Vendite_Patch!$I$4:$I$303,"Sì"))</f>
        <v/>
      </c>
      <c r="H132" s="26"/>
      <c r="I132" s="26" t="str">
        <f t="shared" ref="I132:I163" si="9">IF(B132="","",MAX(G132-H132,0))</f>
        <v/>
      </c>
      <c r="J132" s="19"/>
    </row>
    <row r="133" spans="1:10" ht="22" customHeight="1">
      <c r="A133" s="14"/>
      <c r="B133" s="18"/>
      <c r="C133" s="23"/>
      <c r="D133" s="23" t="str">
        <f>IF(B133="","",SUMIFS(Vendite_Patch!$D$4:$D$303,Vendite_Patch!$L$4:$L$303,B133))</f>
        <v/>
      </c>
      <c r="E133" s="23"/>
      <c r="F133" s="23" t="str">
        <f t="shared" si="8"/>
        <v/>
      </c>
      <c r="G133" s="26" t="str">
        <f>IF(B133="","",SUMIFS(Vendite_Patch!$F$4:$F$303,Vendite_Patch!$L$4:$L$303,B133,Vendite_Patch!$I$4:$I$303,"Sì"))</f>
        <v/>
      </c>
      <c r="H133" s="26"/>
      <c r="I133" s="26" t="str">
        <f t="shared" si="9"/>
        <v/>
      </c>
      <c r="J133" s="19"/>
    </row>
    <row r="134" spans="1:10" ht="22" customHeight="1">
      <c r="A134" s="14"/>
      <c r="B134" s="18"/>
      <c r="C134" s="23"/>
      <c r="D134" s="23" t="str">
        <f>IF(B134="","",SUMIFS(Vendite_Patch!$D$4:$D$303,Vendite_Patch!$L$4:$L$303,B134))</f>
        <v/>
      </c>
      <c r="E134" s="23"/>
      <c r="F134" s="23" t="str">
        <f t="shared" si="8"/>
        <v/>
      </c>
      <c r="G134" s="26" t="str">
        <f>IF(B134="","",SUMIFS(Vendite_Patch!$F$4:$F$303,Vendite_Patch!$L$4:$L$303,B134,Vendite_Patch!$I$4:$I$303,"Sì"))</f>
        <v/>
      </c>
      <c r="H134" s="26"/>
      <c r="I134" s="26" t="str">
        <f t="shared" si="9"/>
        <v/>
      </c>
      <c r="J134" s="19"/>
    </row>
    <row r="135" spans="1:10" ht="22" customHeight="1">
      <c r="A135" s="14"/>
      <c r="B135" s="18"/>
      <c r="C135" s="23"/>
      <c r="D135" s="23" t="str">
        <f>IF(B135="","",SUMIFS(Vendite_Patch!$D$4:$D$303,Vendite_Patch!$L$4:$L$303,B135))</f>
        <v/>
      </c>
      <c r="E135" s="23"/>
      <c r="F135" s="23" t="str">
        <f t="shared" si="8"/>
        <v/>
      </c>
      <c r="G135" s="26" t="str">
        <f>IF(B135="","",SUMIFS(Vendite_Patch!$F$4:$F$303,Vendite_Patch!$L$4:$L$303,B135,Vendite_Patch!$I$4:$I$303,"Sì"))</f>
        <v/>
      </c>
      <c r="H135" s="26"/>
      <c r="I135" s="26" t="str">
        <f t="shared" si="9"/>
        <v/>
      </c>
      <c r="J135" s="19"/>
    </row>
    <row r="136" spans="1:10" ht="22" customHeight="1">
      <c r="A136" s="14"/>
      <c r="B136" s="18"/>
      <c r="C136" s="23"/>
      <c r="D136" s="23" t="str">
        <f>IF(B136="","",SUMIFS(Vendite_Patch!$D$4:$D$303,Vendite_Patch!$L$4:$L$303,B136))</f>
        <v/>
      </c>
      <c r="E136" s="23"/>
      <c r="F136" s="23" t="str">
        <f t="shared" si="8"/>
        <v/>
      </c>
      <c r="G136" s="26" t="str">
        <f>IF(B136="","",SUMIFS(Vendite_Patch!$F$4:$F$303,Vendite_Patch!$L$4:$L$303,B136,Vendite_Patch!$I$4:$I$303,"Sì"))</f>
        <v/>
      </c>
      <c r="H136" s="26"/>
      <c r="I136" s="26" t="str">
        <f t="shared" si="9"/>
        <v/>
      </c>
      <c r="J136" s="19"/>
    </row>
    <row r="137" spans="1:10" ht="22" customHeight="1">
      <c r="A137" s="14"/>
      <c r="B137" s="18"/>
      <c r="C137" s="23"/>
      <c r="D137" s="23" t="str">
        <f>IF(B137="","",SUMIFS(Vendite_Patch!$D$4:$D$303,Vendite_Patch!$L$4:$L$303,B137))</f>
        <v/>
      </c>
      <c r="E137" s="23"/>
      <c r="F137" s="23" t="str">
        <f t="shared" si="8"/>
        <v/>
      </c>
      <c r="G137" s="26" t="str">
        <f>IF(B137="","",SUMIFS(Vendite_Patch!$F$4:$F$303,Vendite_Patch!$L$4:$L$303,B137,Vendite_Patch!$I$4:$I$303,"Sì"))</f>
        <v/>
      </c>
      <c r="H137" s="26"/>
      <c r="I137" s="26" t="str">
        <f t="shared" si="9"/>
        <v/>
      </c>
      <c r="J137" s="19"/>
    </row>
    <row r="138" spans="1:10" ht="22" customHeight="1">
      <c r="A138" s="14"/>
      <c r="B138" s="18"/>
      <c r="C138" s="23"/>
      <c r="D138" s="23" t="str">
        <f>IF(B138="","",SUMIFS(Vendite_Patch!$D$4:$D$303,Vendite_Patch!$L$4:$L$303,B138))</f>
        <v/>
      </c>
      <c r="E138" s="23"/>
      <c r="F138" s="23" t="str">
        <f t="shared" si="8"/>
        <v/>
      </c>
      <c r="G138" s="26" t="str">
        <f>IF(B138="","",SUMIFS(Vendite_Patch!$F$4:$F$303,Vendite_Patch!$L$4:$L$303,B138,Vendite_Patch!$I$4:$I$303,"Sì"))</f>
        <v/>
      </c>
      <c r="H138" s="26"/>
      <c r="I138" s="26" t="str">
        <f t="shared" si="9"/>
        <v/>
      </c>
      <c r="J138" s="19"/>
    </row>
    <row r="139" spans="1:10" ht="22" customHeight="1">
      <c r="A139" s="14"/>
      <c r="B139" s="18"/>
      <c r="C139" s="23"/>
      <c r="D139" s="23" t="str">
        <f>IF(B139="","",SUMIFS(Vendite_Patch!$D$4:$D$303,Vendite_Patch!$L$4:$L$303,B139))</f>
        <v/>
      </c>
      <c r="E139" s="23"/>
      <c r="F139" s="23" t="str">
        <f t="shared" si="8"/>
        <v/>
      </c>
      <c r="G139" s="26" t="str">
        <f>IF(B139="","",SUMIFS(Vendite_Patch!$F$4:$F$303,Vendite_Patch!$L$4:$L$303,B139,Vendite_Patch!$I$4:$I$303,"Sì"))</f>
        <v/>
      </c>
      <c r="H139" s="26"/>
      <c r="I139" s="26" t="str">
        <f t="shared" si="9"/>
        <v/>
      </c>
      <c r="J139" s="19"/>
    </row>
    <row r="140" spans="1:10" ht="22" customHeight="1">
      <c r="A140" s="14"/>
      <c r="B140" s="18"/>
      <c r="C140" s="23"/>
      <c r="D140" s="23" t="str">
        <f>IF(B140="","",SUMIFS(Vendite_Patch!$D$4:$D$303,Vendite_Patch!$L$4:$L$303,B140))</f>
        <v/>
      </c>
      <c r="E140" s="23"/>
      <c r="F140" s="23" t="str">
        <f t="shared" si="8"/>
        <v/>
      </c>
      <c r="G140" s="26" t="str">
        <f>IF(B140="","",SUMIFS(Vendite_Patch!$F$4:$F$303,Vendite_Patch!$L$4:$L$303,B140,Vendite_Patch!$I$4:$I$303,"Sì"))</f>
        <v/>
      </c>
      <c r="H140" s="26"/>
      <c r="I140" s="26" t="str">
        <f t="shared" si="9"/>
        <v/>
      </c>
      <c r="J140" s="19"/>
    </row>
    <row r="141" spans="1:10" ht="22" customHeight="1">
      <c r="A141" s="14"/>
      <c r="B141" s="18"/>
      <c r="C141" s="23"/>
      <c r="D141" s="23" t="str">
        <f>IF(B141="","",SUMIFS(Vendite_Patch!$D$4:$D$303,Vendite_Patch!$L$4:$L$303,B141))</f>
        <v/>
      </c>
      <c r="E141" s="23"/>
      <c r="F141" s="23" t="str">
        <f t="shared" si="8"/>
        <v/>
      </c>
      <c r="G141" s="26" t="str">
        <f>IF(B141="","",SUMIFS(Vendite_Patch!$F$4:$F$303,Vendite_Patch!$L$4:$L$303,B141,Vendite_Patch!$I$4:$I$303,"Sì"))</f>
        <v/>
      </c>
      <c r="H141" s="26"/>
      <c r="I141" s="26" t="str">
        <f t="shared" si="9"/>
        <v/>
      </c>
      <c r="J141" s="19"/>
    </row>
    <row r="142" spans="1:10" ht="22" customHeight="1">
      <c r="A142" s="14"/>
      <c r="B142" s="18"/>
      <c r="C142" s="23"/>
      <c r="D142" s="23" t="str">
        <f>IF(B142="","",SUMIFS(Vendite_Patch!$D$4:$D$303,Vendite_Patch!$L$4:$L$303,B142))</f>
        <v/>
      </c>
      <c r="E142" s="23"/>
      <c r="F142" s="23" t="str">
        <f t="shared" si="8"/>
        <v/>
      </c>
      <c r="G142" s="26" t="str">
        <f>IF(B142="","",SUMIFS(Vendite_Patch!$F$4:$F$303,Vendite_Patch!$L$4:$L$303,B142,Vendite_Patch!$I$4:$I$303,"Sì"))</f>
        <v/>
      </c>
      <c r="H142" s="26"/>
      <c r="I142" s="26" t="str">
        <f t="shared" si="9"/>
        <v/>
      </c>
      <c r="J142" s="19"/>
    </row>
    <row r="143" spans="1:10" ht="22" customHeight="1">
      <c r="A143" s="14"/>
      <c r="B143" s="18"/>
      <c r="C143" s="23"/>
      <c r="D143" s="23" t="str">
        <f>IF(B143="","",SUMIFS(Vendite_Patch!$D$4:$D$303,Vendite_Patch!$L$4:$L$303,B143))</f>
        <v/>
      </c>
      <c r="E143" s="23"/>
      <c r="F143" s="23" t="str">
        <f t="shared" si="8"/>
        <v/>
      </c>
      <c r="G143" s="26" t="str">
        <f>IF(B143="","",SUMIFS(Vendite_Patch!$F$4:$F$303,Vendite_Patch!$L$4:$L$303,B143,Vendite_Patch!$I$4:$I$303,"Sì"))</f>
        <v/>
      </c>
      <c r="H143" s="26"/>
      <c r="I143" s="26" t="str">
        <f t="shared" si="9"/>
        <v/>
      </c>
      <c r="J143" s="19"/>
    </row>
    <row r="144" spans="1:10" ht="22" customHeight="1">
      <c r="A144" s="14"/>
      <c r="B144" s="18"/>
      <c r="C144" s="23"/>
      <c r="D144" s="23" t="str">
        <f>IF(B144="","",SUMIFS(Vendite_Patch!$D$4:$D$303,Vendite_Patch!$L$4:$L$303,B144))</f>
        <v/>
      </c>
      <c r="E144" s="23"/>
      <c r="F144" s="23" t="str">
        <f t="shared" si="8"/>
        <v/>
      </c>
      <c r="G144" s="26" t="str">
        <f>IF(B144="","",SUMIFS(Vendite_Patch!$F$4:$F$303,Vendite_Patch!$L$4:$L$303,B144,Vendite_Patch!$I$4:$I$303,"Sì"))</f>
        <v/>
      </c>
      <c r="H144" s="26"/>
      <c r="I144" s="26" t="str">
        <f t="shared" si="9"/>
        <v/>
      </c>
      <c r="J144" s="19"/>
    </row>
    <row r="145" spans="1:10" ht="22" customHeight="1">
      <c r="A145" s="14"/>
      <c r="B145" s="18"/>
      <c r="C145" s="23"/>
      <c r="D145" s="23" t="str">
        <f>IF(B145="","",SUMIFS(Vendite_Patch!$D$4:$D$303,Vendite_Patch!$L$4:$L$303,B145))</f>
        <v/>
      </c>
      <c r="E145" s="23"/>
      <c r="F145" s="23" t="str">
        <f t="shared" si="8"/>
        <v/>
      </c>
      <c r="G145" s="26" t="str">
        <f>IF(B145="","",SUMIFS(Vendite_Patch!$F$4:$F$303,Vendite_Patch!$L$4:$L$303,B145,Vendite_Patch!$I$4:$I$303,"Sì"))</f>
        <v/>
      </c>
      <c r="H145" s="26"/>
      <c r="I145" s="26" t="str">
        <f t="shared" si="9"/>
        <v/>
      </c>
      <c r="J145" s="19"/>
    </row>
    <row r="146" spans="1:10" ht="22" customHeight="1">
      <c r="A146" s="14"/>
      <c r="B146" s="18"/>
      <c r="C146" s="23"/>
      <c r="D146" s="23" t="str">
        <f>IF(B146="","",SUMIFS(Vendite_Patch!$D$4:$D$303,Vendite_Patch!$L$4:$L$303,B146))</f>
        <v/>
      </c>
      <c r="E146" s="23"/>
      <c r="F146" s="23" t="str">
        <f t="shared" si="8"/>
        <v/>
      </c>
      <c r="G146" s="26" t="str">
        <f>IF(B146="","",SUMIFS(Vendite_Patch!$F$4:$F$303,Vendite_Patch!$L$4:$L$303,B146,Vendite_Patch!$I$4:$I$303,"Sì"))</f>
        <v/>
      </c>
      <c r="H146" s="26"/>
      <c r="I146" s="26" t="str">
        <f t="shared" si="9"/>
        <v/>
      </c>
      <c r="J146" s="19"/>
    </row>
    <row r="147" spans="1:10" ht="22" customHeight="1">
      <c r="A147" s="14"/>
      <c r="B147" s="18"/>
      <c r="C147" s="23"/>
      <c r="D147" s="23" t="str">
        <f>IF(B147="","",SUMIFS(Vendite_Patch!$D$4:$D$303,Vendite_Patch!$L$4:$L$303,B147))</f>
        <v/>
      </c>
      <c r="E147" s="23"/>
      <c r="F147" s="23" t="str">
        <f t="shared" si="8"/>
        <v/>
      </c>
      <c r="G147" s="26" t="str">
        <f>IF(B147="","",SUMIFS(Vendite_Patch!$F$4:$F$303,Vendite_Patch!$L$4:$L$303,B147,Vendite_Patch!$I$4:$I$303,"Sì"))</f>
        <v/>
      </c>
      <c r="H147" s="26"/>
      <c r="I147" s="26" t="str">
        <f t="shared" si="9"/>
        <v/>
      </c>
      <c r="J147" s="19"/>
    </row>
    <row r="148" spans="1:10" ht="22" customHeight="1">
      <c r="A148" s="14"/>
      <c r="B148" s="18"/>
      <c r="C148" s="23"/>
      <c r="D148" s="23" t="str">
        <f>IF(B148="","",SUMIFS(Vendite_Patch!$D$4:$D$303,Vendite_Patch!$L$4:$L$303,B148))</f>
        <v/>
      </c>
      <c r="E148" s="23"/>
      <c r="F148" s="23" t="str">
        <f t="shared" si="8"/>
        <v/>
      </c>
      <c r="G148" s="26" t="str">
        <f>IF(B148="","",SUMIFS(Vendite_Patch!$F$4:$F$303,Vendite_Patch!$L$4:$L$303,B148,Vendite_Patch!$I$4:$I$303,"Sì"))</f>
        <v/>
      </c>
      <c r="H148" s="26"/>
      <c r="I148" s="26" t="str">
        <f t="shared" si="9"/>
        <v/>
      </c>
      <c r="J148" s="19"/>
    </row>
    <row r="149" spans="1:10" ht="22" customHeight="1">
      <c r="A149" s="14"/>
      <c r="B149" s="18"/>
      <c r="C149" s="23"/>
      <c r="D149" s="23" t="str">
        <f>IF(B149="","",SUMIFS(Vendite_Patch!$D$4:$D$303,Vendite_Patch!$L$4:$L$303,B149))</f>
        <v/>
      </c>
      <c r="E149" s="23"/>
      <c r="F149" s="23" t="str">
        <f t="shared" si="8"/>
        <v/>
      </c>
      <c r="G149" s="26" t="str">
        <f>IF(B149="","",SUMIFS(Vendite_Patch!$F$4:$F$303,Vendite_Patch!$L$4:$L$303,B149,Vendite_Patch!$I$4:$I$303,"Sì"))</f>
        <v/>
      </c>
      <c r="H149" s="26"/>
      <c r="I149" s="26" t="str">
        <f t="shared" si="9"/>
        <v/>
      </c>
      <c r="J149" s="19"/>
    </row>
    <row r="150" spans="1:10" ht="22" customHeight="1">
      <c r="A150" s="14"/>
      <c r="B150" s="18"/>
      <c r="C150" s="23"/>
      <c r="D150" s="23" t="str">
        <f>IF(B150="","",SUMIFS(Vendite_Patch!$D$4:$D$303,Vendite_Patch!$L$4:$L$303,B150))</f>
        <v/>
      </c>
      <c r="E150" s="23"/>
      <c r="F150" s="23" t="str">
        <f t="shared" si="8"/>
        <v/>
      </c>
      <c r="G150" s="26" t="str">
        <f>IF(B150="","",SUMIFS(Vendite_Patch!$F$4:$F$303,Vendite_Patch!$L$4:$L$303,B150,Vendite_Patch!$I$4:$I$303,"Sì"))</f>
        <v/>
      </c>
      <c r="H150" s="26"/>
      <c r="I150" s="26" t="str">
        <f t="shared" si="9"/>
        <v/>
      </c>
      <c r="J150" s="19"/>
    </row>
    <row r="151" spans="1:10" ht="22" customHeight="1">
      <c r="A151" s="14"/>
      <c r="B151" s="18"/>
      <c r="C151" s="23"/>
      <c r="D151" s="23" t="str">
        <f>IF(B151="","",SUMIFS(Vendite_Patch!$D$4:$D$303,Vendite_Patch!$L$4:$L$303,B151))</f>
        <v/>
      </c>
      <c r="E151" s="23"/>
      <c r="F151" s="23" t="str">
        <f t="shared" si="8"/>
        <v/>
      </c>
      <c r="G151" s="26" t="str">
        <f>IF(B151="","",SUMIFS(Vendite_Patch!$F$4:$F$303,Vendite_Patch!$L$4:$L$303,B151,Vendite_Patch!$I$4:$I$303,"Sì"))</f>
        <v/>
      </c>
      <c r="H151" s="26"/>
      <c r="I151" s="26" t="str">
        <f t="shared" si="9"/>
        <v/>
      </c>
      <c r="J151" s="19"/>
    </row>
    <row r="152" spans="1:10" ht="22" customHeight="1">
      <c r="A152" s="14"/>
      <c r="B152" s="18"/>
      <c r="C152" s="23"/>
      <c r="D152" s="23" t="str">
        <f>IF(B152="","",SUMIFS(Vendite_Patch!$D$4:$D$303,Vendite_Patch!$L$4:$L$303,B152))</f>
        <v/>
      </c>
      <c r="E152" s="23"/>
      <c r="F152" s="23" t="str">
        <f t="shared" si="8"/>
        <v/>
      </c>
      <c r="G152" s="26" t="str">
        <f>IF(B152="","",SUMIFS(Vendite_Patch!$F$4:$F$303,Vendite_Patch!$L$4:$L$303,B152,Vendite_Patch!$I$4:$I$303,"Sì"))</f>
        <v/>
      </c>
      <c r="H152" s="26"/>
      <c r="I152" s="26" t="str">
        <f t="shared" si="9"/>
        <v/>
      </c>
      <c r="J152" s="19"/>
    </row>
    <row r="153" spans="1:10" ht="22" customHeight="1">
      <c r="A153" s="14"/>
      <c r="B153" s="18"/>
      <c r="C153" s="23"/>
      <c r="D153" s="23" t="str">
        <f>IF(B153="","",SUMIFS(Vendite_Patch!$D$4:$D$303,Vendite_Patch!$L$4:$L$303,B153))</f>
        <v/>
      </c>
      <c r="E153" s="23"/>
      <c r="F153" s="23" t="str">
        <f t="shared" si="8"/>
        <v/>
      </c>
      <c r="G153" s="26" t="str">
        <f>IF(B153="","",SUMIFS(Vendite_Patch!$F$4:$F$303,Vendite_Patch!$L$4:$L$303,B153,Vendite_Patch!$I$4:$I$303,"Sì"))</f>
        <v/>
      </c>
      <c r="H153" s="26"/>
      <c r="I153" s="26" t="str">
        <f t="shared" si="9"/>
        <v/>
      </c>
      <c r="J153" s="19"/>
    </row>
    <row r="154" spans="1:10" ht="22" customHeight="1">
      <c r="A154" s="14"/>
      <c r="B154" s="18"/>
      <c r="C154" s="23"/>
      <c r="D154" s="23" t="str">
        <f>IF(B154="","",SUMIFS(Vendite_Patch!$D$4:$D$303,Vendite_Patch!$L$4:$L$303,B154))</f>
        <v/>
      </c>
      <c r="E154" s="23"/>
      <c r="F154" s="23" t="str">
        <f t="shared" si="8"/>
        <v/>
      </c>
      <c r="G154" s="26" t="str">
        <f>IF(B154="","",SUMIFS(Vendite_Patch!$F$4:$F$303,Vendite_Patch!$L$4:$L$303,B154,Vendite_Patch!$I$4:$I$303,"Sì"))</f>
        <v/>
      </c>
      <c r="H154" s="26"/>
      <c r="I154" s="26" t="str">
        <f t="shared" si="9"/>
        <v/>
      </c>
      <c r="J154" s="19"/>
    </row>
    <row r="155" spans="1:10" ht="22" customHeight="1">
      <c r="A155" s="14"/>
      <c r="B155" s="18"/>
      <c r="C155" s="23"/>
      <c r="D155" s="23" t="str">
        <f>IF(B155="","",SUMIFS(Vendite_Patch!$D$4:$D$303,Vendite_Patch!$L$4:$L$303,B155))</f>
        <v/>
      </c>
      <c r="E155" s="23"/>
      <c r="F155" s="23" t="str">
        <f t="shared" si="8"/>
        <v/>
      </c>
      <c r="G155" s="26" t="str">
        <f>IF(B155="","",SUMIFS(Vendite_Patch!$F$4:$F$303,Vendite_Patch!$L$4:$L$303,B155,Vendite_Patch!$I$4:$I$303,"Sì"))</f>
        <v/>
      </c>
      <c r="H155" s="26"/>
      <c r="I155" s="26" t="str">
        <f t="shared" si="9"/>
        <v/>
      </c>
      <c r="J155" s="19"/>
    </row>
    <row r="156" spans="1:10" ht="22" customHeight="1">
      <c r="A156" s="14"/>
      <c r="B156" s="18"/>
      <c r="C156" s="23"/>
      <c r="D156" s="23" t="str">
        <f>IF(B156="","",SUMIFS(Vendite_Patch!$D$4:$D$303,Vendite_Patch!$L$4:$L$303,B156))</f>
        <v/>
      </c>
      <c r="E156" s="23"/>
      <c r="F156" s="23" t="str">
        <f t="shared" si="8"/>
        <v/>
      </c>
      <c r="G156" s="26" t="str">
        <f>IF(B156="","",SUMIFS(Vendite_Patch!$F$4:$F$303,Vendite_Patch!$L$4:$L$303,B156,Vendite_Patch!$I$4:$I$303,"Sì"))</f>
        <v/>
      </c>
      <c r="H156" s="26"/>
      <c r="I156" s="26" t="str">
        <f t="shared" si="9"/>
        <v/>
      </c>
      <c r="J156" s="19"/>
    </row>
    <row r="157" spans="1:10" ht="22" customHeight="1">
      <c r="A157" s="14"/>
      <c r="B157" s="18"/>
      <c r="C157" s="23"/>
      <c r="D157" s="23" t="str">
        <f>IF(B157="","",SUMIFS(Vendite_Patch!$D$4:$D$303,Vendite_Patch!$L$4:$L$303,B157))</f>
        <v/>
      </c>
      <c r="E157" s="23"/>
      <c r="F157" s="23" t="str">
        <f t="shared" si="8"/>
        <v/>
      </c>
      <c r="G157" s="26" t="str">
        <f>IF(B157="","",SUMIFS(Vendite_Patch!$F$4:$F$303,Vendite_Patch!$L$4:$L$303,B157,Vendite_Patch!$I$4:$I$303,"Sì"))</f>
        <v/>
      </c>
      <c r="H157" s="26"/>
      <c r="I157" s="26" t="str">
        <f t="shared" si="9"/>
        <v/>
      </c>
      <c r="J157" s="19"/>
    </row>
    <row r="158" spans="1:10" ht="22" customHeight="1">
      <c r="A158" s="14"/>
      <c r="B158" s="18"/>
      <c r="C158" s="23"/>
      <c r="D158" s="23" t="str">
        <f>IF(B158="","",SUMIFS(Vendite_Patch!$D$4:$D$303,Vendite_Patch!$L$4:$L$303,B158))</f>
        <v/>
      </c>
      <c r="E158" s="23"/>
      <c r="F158" s="23" t="str">
        <f t="shared" si="8"/>
        <v/>
      </c>
      <c r="G158" s="26" t="str">
        <f>IF(B158="","",SUMIFS(Vendite_Patch!$F$4:$F$303,Vendite_Patch!$L$4:$L$303,B158,Vendite_Patch!$I$4:$I$303,"Sì"))</f>
        <v/>
      </c>
      <c r="H158" s="26"/>
      <c r="I158" s="26" t="str">
        <f t="shared" si="9"/>
        <v/>
      </c>
      <c r="J158" s="19"/>
    </row>
    <row r="159" spans="1:10" ht="22" customHeight="1">
      <c r="A159" s="14"/>
      <c r="B159" s="18"/>
      <c r="C159" s="23"/>
      <c r="D159" s="23" t="str">
        <f>IF(B159="","",SUMIFS(Vendite_Patch!$D$4:$D$303,Vendite_Patch!$L$4:$L$303,B159))</f>
        <v/>
      </c>
      <c r="E159" s="23"/>
      <c r="F159" s="23" t="str">
        <f t="shared" si="8"/>
        <v/>
      </c>
      <c r="G159" s="26" t="str">
        <f>IF(B159="","",SUMIFS(Vendite_Patch!$F$4:$F$303,Vendite_Patch!$L$4:$L$303,B159,Vendite_Patch!$I$4:$I$303,"Sì"))</f>
        <v/>
      </c>
      <c r="H159" s="26"/>
      <c r="I159" s="26" t="str">
        <f t="shared" si="9"/>
        <v/>
      </c>
      <c r="J159" s="19"/>
    </row>
    <row r="160" spans="1:10" ht="22" customHeight="1">
      <c r="A160" s="14"/>
      <c r="B160" s="18"/>
      <c r="C160" s="23"/>
      <c r="D160" s="23" t="str">
        <f>IF(B160="","",SUMIFS(Vendite_Patch!$D$4:$D$303,Vendite_Patch!$L$4:$L$303,B160))</f>
        <v/>
      </c>
      <c r="E160" s="23"/>
      <c r="F160" s="23" t="str">
        <f t="shared" si="8"/>
        <v/>
      </c>
      <c r="G160" s="26" t="str">
        <f>IF(B160="","",SUMIFS(Vendite_Patch!$F$4:$F$303,Vendite_Patch!$L$4:$L$303,B160,Vendite_Patch!$I$4:$I$303,"Sì"))</f>
        <v/>
      </c>
      <c r="H160" s="26"/>
      <c r="I160" s="26" t="str">
        <f t="shared" si="9"/>
        <v/>
      </c>
      <c r="J160" s="19"/>
    </row>
    <row r="161" spans="1:10" ht="22" customHeight="1">
      <c r="A161" s="14"/>
      <c r="B161" s="18"/>
      <c r="C161" s="23"/>
      <c r="D161" s="23" t="str">
        <f>IF(B161="","",SUMIFS(Vendite_Patch!$D$4:$D$303,Vendite_Patch!$L$4:$L$303,B161))</f>
        <v/>
      </c>
      <c r="E161" s="23"/>
      <c r="F161" s="23" t="str">
        <f t="shared" si="8"/>
        <v/>
      </c>
      <c r="G161" s="26" t="str">
        <f>IF(B161="","",SUMIFS(Vendite_Patch!$F$4:$F$303,Vendite_Patch!$L$4:$L$303,B161,Vendite_Patch!$I$4:$I$303,"Sì"))</f>
        <v/>
      </c>
      <c r="H161" s="26"/>
      <c r="I161" s="26" t="str">
        <f t="shared" si="9"/>
        <v/>
      </c>
      <c r="J161" s="19"/>
    </row>
    <row r="162" spans="1:10" ht="22" customHeight="1">
      <c r="A162" s="14"/>
      <c r="B162" s="18"/>
      <c r="C162" s="23"/>
      <c r="D162" s="23" t="str">
        <f>IF(B162="","",SUMIFS(Vendite_Patch!$D$4:$D$303,Vendite_Patch!$L$4:$L$303,B162))</f>
        <v/>
      </c>
      <c r="E162" s="23"/>
      <c r="F162" s="23" t="str">
        <f t="shared" si="8"/>
        <v/>
      </c>
      <c r="G162" s="26" t="str">
        <f>IF(B162="","",SUMIFS(Vendite_Patch!$F$4:$F$303,Vendite_Patch!$L$4:$L$303,B162,Vendite_Patch!$I$4:$I$303,"Sì"))</f>
        <v/>
      </c>
      <c r="H162" s="26"/>
      <c r="I162" s="26" t="str">
        <f t="shared" si="9"/>
        <v/>
      </c>
      <c r="J162" s="19"/>
    </row>
    <row r="163" spans="1:10" ht="22" customHeight="1">
      <c r="A163" s="14"/>
      <c r="B163" s="18"/>
      <c r="C163" s="23"/>
      <c r="D163" s="23" t="str">
        <f>IF(B163="","",SUMIFS(Vendite_Patch!$D$4:$D$303,Vendite_Patch!$L$4:$L$303,B163))</f>
        <v/>
      </c>
      <c r="E163" s="23"/>
      <c r="F163" s="23" t="str">
        <f t="shared" si="8"/>
        <v/>
      </c>
      <c r="G163" s="26" t="str">
        <f>IF(B163="","",SUMIFS(Vendite_Patch!$F$4:$F$303,Vendite_Patch!$L$4:$L$303,B163,Vendite_Patch!$I$4:$I$303,"Sì"))</f>
        <v/>
      </c>
      <c r="H163" s="26"/>
      <c r="I163" s="26" t="str">
        <f t="shared" si="9"/>
        <v/>
      </c>
      <c r="J163" s="19"/>
    </row>
    <row r="164" spans="1:10" ht="22" customHeight="1">
      <c r="A164" s="14"/>
      <c r="B164" s="18"/>
      <c r="C164" s="23"/>
      <c r="D164" s="23" t="str">
        <f>IF(B164="","",SUMIFS(Vendite_Patch!$D$4:$D$303,Vendite_Patch!$L$4:$L$303,B164))</f>
        <v/>
      </c>
      <c r="E164" s="23"/>
      <c r="F164" s="23" t="str">
        <f t="shared" ref="F164:F195" si="10">IF(B164="","",MAX(C164-D164-E164,0))</f>
        <v/>
      </c>
      <c r="G164" s="26" t="str">
        <f>IF(B164="","",SUMIFS(Vendite_Patch!$F$4:$F$303,Vendite_Patch!$L$4:$L$303,B164,Vendite_Patch!$I$4:$I$303,"Sì"))</f>
        <v/>
      </c>
      <c r="H164" s="26"/>
      <c r="I164" s="26" t="str">
        <f t="shared" ref="I164:I195" si="11">IF(B164="","",MAX(G164-H164,0))</f>
        <v/>
      </c>
      <c r="J164" s="19"/>
    </row>
    <row r="165" spans="1:10" ht="22" customHeight="1">
      <c r="A165" s="14"/>
      <c r="B165" s="18"/>
      <c r="C165" s="23"/>
      <c r="D165" s="23" t="str">
        <f>IF(B165="","",SUMIFS(Vendite_Patch!$D$4:$D$303,Vendite_Patch!$L$4:$L$303,B165))</f>
        <v/>
      </c>
      <c r="E165" s="23"/>
      <c r="F165" s="23" t="str">
        <f t="shared" si="10"/>
        <v/>
      </c>
      <c r="G165" s="26" t="str">
        <f>IF(B165="","",SUMIFS(Vendite_Patch!$F$4:$F$303,Vendite_Patch!$L$4:$L$303,B165,Vendite_Patch!$I$4:$I$303,"Sì"))</f>
        <v/>
      </c>
      <c r="H165" s="26"/>
      <c r="I165" s="26" t="str">
        <f t="shared" si="11"/>
        <v/>
      </c>
      <c r="J165" s="19"/>
    </row>
    <row r="166" spans="1:10" ht="22" customHeight="1">
      <c r="A166" s="14"/>
      <c r="B166" s="18"/>
      <c r="C166" s="23"/>
      <c r="D166" s="23" t="str">
        <f>IF(B166="","",SUMIFS(Vendite_Patch!$D$4:$D$303,Vendite_Patch!$L$4:$L$303,B166))</f>
        <v/>
      </c>
      <c r="E166" s="23"/>
      <c r="F166" s="23" t="str">
        <f t="shared" si="10"/>
        <v/>
      </c>
      <c r="G166" s="26" t="str">
        <f>IF(B166="","",SUMIFS(Vendite_Patch!$F$4:$F$303,Vendite_Patch!$L$4:$L$303,B166,Vendite_Patch!$I$4:$I$303,"Sì"))</f>
        <v/>
      </c>
      <c r="H166" s="26"/>
      <c r="I166" s="26" t="str">
        <f t="shared" si="11"/>
        <v/>
      </c>
      <c r="J166" s="19"/>
    </row>
    <row r="167" spans="1:10" ht="22" customHeight="1">
      <c r="A167" s="14"/>
      <c r="B167" s="18"/>
      <c r="C167" s="23"/>
      <c r="D167" s="23" t="str">
        <f>IF(B167="","",SUMIFS(Vendite_Patch!$D$4:$D$303,Vendite_Patch!$L$4:$L$303,B167))</f>
        <v/>
      </c>
      <c r="E167" s="23"/>
      <c r="F167" s="23" t="str">
        <f t="shared" si="10"/>
        <v/>
      </c>
      <c r="G167" s="26" t="str">
        <f>IF(B167="","",SUMIFS(Vendite_Patch!$F$4:$F$303,Vendite_Patch!$L$4:$L$303,B167,Vendite_Patch!$I$4:$I$303,"Sì"))</f>
        <v/>
      </c>
      <c r="H167" s="26"/>
      <c r="I167" s="26" t="str">
        <f t="shared" si="11"/>
        <v/>
      </c>
      <c r="J167" s="19"/>
    </row>
    <row r="168" spans="1:10" ht="22" customHeight="1">
      <c r="A168" s="14"/>
      <c r="B168" s="18"/>
      <c r="C168" s="23"/>
      <c r="D168" s="23" t="str">
        <f>IF(B168="","",SUMIFS(Vendite_Patch!$D$4:$D$303,Vendite_Patch!$L$4:$L$303,B168))</f>
        <v/>
      </c>
      <c r="E168" s="23"/>
      <c r="F168" s="23" t="str">
        <f t="shared" si="10"/>
        <v/>
      </c>
      <c r="G168" s="26" t="str">
        <f>IF(B168="","",SUMIFS(Vendite_Patch!$F$4:$F$303,Vendite_Patch!$L$4:$L$303,B168,Vendite_Patch!$I$4:$I$303,"Sì"))</f>
        <v/>
      </c>
      <c r="H168" s="26"/>
      <c r="I168" s="26" t="str">
        <f t="shared" si="11"/>
        <v/>
      </c>
      <c r="J168" s="19"/>
    </row>
    <row r="169" spans="1:10" ht="22" customHeight="1">
      <c r="A169" s="14"/>
      <c r="B169" s="18"/>
      <c r="C169" s="23"/>
      <c r="D169" s="23" t="str">
        <f>IF(B169="","",SUMIFS(Vendite_Patch!$D$4:$D$303,Vendite_Patch!$L$4:$L$303,B169))</f>
        <v/>
      </c>
      <c r="E169" s="23"/>
      <c r="F169" s="23" t="str">
        <f t="shared" si="10"/>
        <v/>
      </c>
      <c r="G169" s="26" t="str">
        <f>IF(B169="","",SUMIFS(Vendite_Patch!$F$4:$F$303,Vendite_Patch!$L$4:$L$303,B169,Vendite_Patch!$I$4:$I$303,"Sì"))</f>
        <v/>
      </c>
      <c r="H169" s="26"/>
      <c r="I169" s="26" t="str">
        <f t="shared" si="11"/>
        <v/>
      </c>
      <c r="J169" s="19"/>
    </row>
    <row r="170" spans="1:10" ht="22" customHeight="1">
      <c r="A170" s="14"/>
      <c r="B170" s="18"/>
      <c r="C170" s="23"/>
      <c r="D170" s="23" t="str">
        <f>IF(B170="","",SUMIFS(Vendite_Patch!$D$4:$D$303,Vendite_Patch!$L$4:$L$303,B170))</f>
        <v/>
      </c>
      <c r="E170" s="23"/>
      <c r="F170" s="23" t="str">
        <f t="shared" si="10"/>
        <v/>
      </c>
      <c r="G170" s="26" t="str">
        <f>IF(B170="","",SUMIFS(Vendite_Patch!$F$4:$F$303,Vendite_Patch!$L$4:$L$303,B170,Vendite_Patch!$I$4:$I$303,"Sì"))</f>
        <v/>
      </c>
      <c r="H170" s="26"/>
      <c r="I170" s="26" t="str">
        <f t="shared" si="11"/>
        <v/>
      </c>
      <c r="J170" s="19"/>
    </row>
    <row r="171" spans="1:10" ht="22" customHeight="1">
      <c r="A171" s="14"/>
      <c r="B171" s="18"/>
      <c r="C171" s="23"/>
      <c r="D171" s="23" t="str">
        <f>IF(B171="","",SUMIFS(Vendite_Patch!$D$4:$D$303,Vendite_Patch!$L$4:$L$303,B171))</f>
        <v/>
      </c>
      <c r="E171" s="23"/>
      <c r="F171" s="23" t="str">
        <f t="shared" si="10"/>
        <v/>
      </c>
      <c r="G171" s="26" t="str">
        <f>IF(B171="","",SUMIFS(Vendite_Patch!$F$4:$F$303,Vendite_Patch!$L$4:$L$303,B171,Vendite_Patch!$I$4:$I$303,"Sì"))</f>
        <v/>
      </c>
      <c r="H171" s="26"/>
      <c r="I171" s="26" t="str">
        <f t="shared" si="11"/>
        <v/>
      </c>
      <c r="J171" s="19"/>
    </row>
    <row r="172" spans="1:10" ht="22" customHeight="1">
      <c r="A172" s="14"/>
      <c r="B172" s="18"/>
      <c r="C172" s="23"/>
      <c r="D172" s="23" t="str">
        <f>IF(B172="","",SUMIFS(Vendite_Patch!$D$4:$D$303,Vendite_Patch!$L$4:$L$303,B172))</f>
        <v/>
      </c>
      <c r="E172" s="23"/>
      <c r="F172" s="23" t="str">
        <f t="shared" si="10"/>
        <v/>
      </c>
      <c r="G172" s="26" t="str">
        <f>IF(B172="","",SUMIFS(Vendite_Patch!$F$4:$F$303,Vendite_Patch!$L$4:$L$303,B172,Vendite_Patch!$I$4:$I$303,"Sì"))</f>
        <v/>
      </c>
      <c r="H172" s="26"/>
      <c r="I172" s="26" t="str">
        <f t="shared" si="11"/>
        <v/>
      </c>
      <c r="J172" s="19"/>
    </row>
    <row r="173" spans="1:10" ht="22" customHeight="1">
      <c r="A173" s="14"/>
      <c r="B173" s="18"/>
      <c r="C173" s="23"/>
      <c r="D173" s="23" t="str">
        <f>IF(B173="","",SUMIFS(Vendite_Patch!$D$4:$D$303,Vendite_Patch!$L$4:$L$303,B173))</f>
        <v/>
      </c>
      <c r="E173" s="23"/>
      <c r="F173" s="23" t="str">
        <f t="shared" si="10"/>
        <v/>
      </c>
      <c r="G173" s="26" t="str">
        <f>IF(B173="","",SUMIFS(Vendite_Patch!$F$4:$F$303,Vendite_Patch!$L$4:$L$303,B173,Vendite_Patch!$I$4:$I$303,"Sì"))</f>
        <v/>
      </c>
      <c r="H173" s="26"/>
      <c r="I173" s="26" t="str">
        <f t="shared" si="11"/>
        <v/>
      </c>
      <c r="J173" s="19"/>
    </row>
    <row r="174" spans="1:10" ht="22" customHeight="1">
      <c r="A174" s="14"/>
      <c r="B174" s="18"/>
      <c r="C174" s="23"/>
      <c r="D174" s="23" t="str">
        <f>IF(B174="","",SUMIFS(Vendite_Patch!$D$4:$D$303,Vendite_Patch!$L$4:$L$303,B174))</f>
        <v/>
      </c>
      <c r="E174" s="23"/>
      <c r="F174" s="23" t="str">
        <f t="shared" si="10"/>
        <v/>
      </c>
      <c r="G174" s="26" t="str">
        <f>IF(B174="","",SUMIFS(Vendite_Patch!$F$4:$F$303,Vendite_Patch!$L$4:$L$303,B174,Vendite_Patch!$I$4:$I$303,"Sì"))</f>
        <v/>
      </c>
      <c r="H174" s="26"/>
      <c r="I174" s="26" t="str">
        <f t="shared" si="11"/>
        <v/>
      </c>
      <c r="J174" s="19"/>
    </row>
    <row r="175" spans="1:10" ht="22" customHeight="1">
      <c r="A175" s="14"/>
      <c r="B175" s="18"/>
      <c r="C175" s="23"/>
      <c r="D175" s="23" t="str">
        <f>IF(B175="","",SUMIFS(Vendite_Patch!$D$4:$D$303,Vendite_Patch!$L$4:$L$303,B175))</f>
        <v/>
      </c>
      <c r="E175" s="23"/>
      <c r="F175" s="23" t="str">
        <f t="shared" si="10"/>
        <v/>
      </c>
      <c r="G175" s="26" t="str">
        <f>IF(B175="","",SUMIFS(Vendite_Patch!$F$4:$F$303,Vendite_Patch!$L$4:$L$303,B175,Vendite_Patch!$I$4:$I$303,"Sì"))</f>
        <v/>
      </c>
      <c r="H175" s="26"/>
      <c r="I175" s="26" t="str">
        <f t="shared" si="11"/>
        <v/>
      </c>
      <c r="J175" s="19"/>
    </row>
    <row r="176" spans="1:10" ht="22" customHeight="1">
      <c r="A176" s="14"/>
      <c r="B176" s="18"/>
      <c r="C176" s="23"/>
      <c r="D176" s="23" t="str">
        <f>IF(B176="","",SUMIFS(Vendite_Patch!$D$4:$D$303,Vendite_Patch!$L$4:$L$303,B176))</f>
        <v/>
      </c>
      <c r="E176" s="23"/>
      <c r="F176" s="23" t="str">
        <f t="shared" si="10"/>
        <v/>
      </c>
      <c r="G176" s="26" t="str">
        <f>IF(B176="","",SUMIFS(Vendite_Patch!$F$4:$F$303,Vendite_Patch!$L$4:$L$303,B176,Vendite_Patch!$I$4:$I$303,"Sì"))</f>
        <v/>
      </c>
      <c r="H176" s="26"/>
      <c r="I176" s="26" t="str">
        <f t="shared" si="11"/>
        <v/>
      </c>
      <c r="J176" s="19"/>
    </row>
    <row r="177" spans="1:10" ht="22" customHeight="1">
      <c r="A177" s="14"/>
      <c r="B177" s="18"/>
      <c r="C177" s="23"/>
      <c r="D177" s="23" t="str">
        <f>IF(B177="","",SUMIFS(Vendite_Patch!$D$4:$D$303,Vendite_Patch!$L$4:$L$303,B177))</f>
        <v/>
      </c>
      <c r="E177" s="23"/>
      <c r="F177" s="23" t="str">
        <f t="shared" si="10"/>
        <v/>
      </c>
      <c r="G177" s="26" t="str">
        <f>IF(B177="","",SUMIFS(Vendite_Patch!$F$4:$F$303,Vendite_Patch!$L$4:$L$303,B177,Vendite_Patch!$I$4:$I$303,"Sì"))</f>
        <v/>
      </c>
      <c r="H177" s="26"/>
      <c r="I177" s="26" t="str">
        <f t="shared" si="11"/>
        <v/>
      </c>
      <c r="J177" s="19"/>
    </row>
    <row r="178" spans="1:10" ht="22" customHeight="1">
      <c r="A178" s="14"/>
      <c r="B178" s="18"/>
      <c r="C178" s="23"/>
      <c r="D178" s="23" t="str">
        <f>IF(B178="","",SUMIFS(Vendite_Patch!$D$4:$D$303,Vendite_Patch!$L$4:$L$303,B178))</f>
        <v/>
      </c>
      <c r="E178" s="23"/>
      <c r="F178" s="23" t="str">
        <f t="shared" si="10"/>
        <v/>
      </c>
      <c r="G178" s="26" t="str">
        <f>IF(B178="","",SUMIFS(Vendite_Patch!$F$4:$F$303,Vendite_Patch!$L$4:$L$303,B178,Vendite_Patch!$I$4:$I$303,"Sì"))</f>
        <v/>
      </c>
      <c r="H178" s="26"/>
      <c r="I178" s="26" t="str">
        <f t="shared" si="11"/>
        <v/>
      </c>
      <c r="J178" s="19"/>
    </row>
    <row r="179" spans="1:10" ht="22" customHeight="1">
      <c r="A179" s="14"/>
      <c r="B179" s="18"/>
      <c r="C179" s="23"/>
      <c r="D179" s="23" t="str">
        <f>IF(B179="","",SUMIFS(Vendite_Patch!$D$4:$D$303,Vendite_Patch!$L$4:$L$303,B179))</f>
        <v/>
      </c>
      <c r="E179" s="23"/>
      <c r="F179" s="23" t="str">
        <f t="shared" si="10"/>
        <v/>
      </c>
      <c r="G179" s="26" t="str">
        <f>IF(B179="","",SUMIFS(Vendite_Patch!$F$4:$F$303,Vendite_Patch!$L$4:$L$303,B179,Vendite_Patch!$I$4:$I$303,"Sì"))</f>
        <v/>
      </c>
      <c r="H179" s="26"/>
      <c r="I179" s="26" t="str">
        <f t="shared" si="11"/>
        <v/>
      </c>
      <c r="J179" s="19"/>
    </row>
    <row r="180" spans="1:10" ht="22" customHeight="1">
      <c r="A180" s="14"/>
      <c r="B180" s="18"/>
      <c r="C180" s="23"/>
      <c r="D180" s="23" t="str">
        <f>IF(B180="","",SUMIFS(Vendite_Patch!$D$4:$D$303,Vendite_Patch!$L$4:$L$303,B180))</f>
        <v/>
      </c>
      <c r="E180" s="23"/>
      <c r="F180" s="23" t="str">
        <f t="shared" si="10"/>
        <v/>
      </c>
      <c r="G180" s="26" t="str">
        <f>IF(B180="","",SUMIFS(Vendite_Patch!$F$4:$F$303,Vendite_Patch!$L$4:$L$303,B180,Vendite_Patch!$I$4:$I$303,"Sì"))</f>
        <v/>
      </c>
      <c r="H180" s="26"/>
      <c r="I180" s="26" t="str">
        <f t="shared" si="11"/>
        <v/>
      </c>
      <c r="J180" s="19"/>
    </row>
    <row r="181" spans="1:10" ht="22" customHeight="1">
      <c r="A181" s="14"/>
      <c r="B181" s="18"/>
      <c r="C181" s="23"/>
      <c r="D181" s="23" t="str">
        <f>IF(B181="","",SUMIFS(Vendite_Patch!$D$4:$D$303,Vendite_Patch!$L$4:$L$303,B181))</f>
        <v/>
      </c>
      <c r="E181" s="23"/>
      <c r="F181" s="23" t="str">
        <f t="shared" si="10"/>
        <v/>
      </c>
      <c r="G181" s="26" t="str">
        <f>IF(B181="","",SUMIFS(Vendite_Patch!$F$4:$F$303,Vendite_Patch!$L$4:$L$303,B181,Vendite_Patch!$I$4:$I$303,"Sì"))</f>
        <v/>
      </c>
      <c r="H181" s="26"/>
      <c r="I181" s="26" t="str">
        <f t="shared" si="11"/>
        <v/>
      </c>
      <c r="J181" s="19"/>
    </row>
    <row r="182" spans="1:10" ht="22" customHeight="1">
      <c r="A182" s="14"/>
      <c r="B182" s="18"/>
      <c r="C182" s="23"/>
      <c r="D182" s="23" t="str">
        <f>IF(B182="","",SUMIFS(Vendite_Patch!$D$4:$D$303,Vendite_Patch!$L$4:$L$303,B182))</f>
        <v/>
      </c>
      <c r="E182" s="23"/>
      <c r="F182" s="23" t="str">
        <f t="shared" si="10"/>
        <v/>
      </c>
      <c r="G182" s="26" t="str">
        <f>IF(B182="","",SUMIFS(Vendite_Patch!$F$4:$F$303,Vendite_Patch!$L$4:$L$303,B182,Vendite_Patch!$I$4:$I$303,"Sì"))</f>
        <v/>
      </c>
      <c r="H182" s="26"/>
      <c r="I182" s="26" t="str">
        <f t="shared" si="11"/>
        <v/>
      </c>
      <c r="J182" s="19"/>
    </row>
    <row r="183" spans="1:10" ht="22" customHeight="1">
      <c r="A183" s="14"/>
      <c r="B183" s="18"/>
      <c r="C183" s="23"/>
      <c r="D183" s="23" t="str">
        <f>IF(B183="","",SUMIFS(Vendite_Patch!$D$4:$D$303,Vendite_Patch!$L$4:$L$303,B183))</f>
        <v/>
      </c>
      <c r="E183" s="23"/>
      <c r="F183" s="23" t="str">
        <f t="shared" si="10"/>
        <v/>
      </c>
      <c r="G183" s="26" t="str">
        <f>IF(B183="","",SUMIFS(Vendite_Patch!$F$4:$F$303,Vendite_Patch!$L$4:$L$303,B183,Vendite_Patch!$I$4:$I$303,"Sì"))</f>
        <v/>
      </c>
      <c r="H183" s="26"/>
      <c r="I183" s="26" t="str">
        <f t="shared" si="11"/>
        <v/>
      </c>
      <c r="J183" s="19"/>
    </row>
    <row r="184" spans="1:10" ht="22" customHeight="1">
      <c r="A184" s="14"/>
      <c r="B184" s="18"/>
      <c r="C184" s="23"/>
      <c r="D184" s="23" t="str">
        <f>IF(B184="","",SUMIFS(Vendite_Patch!$D$4:$D$303,Vendite_Patch!$L$4:$L$303,B184))</f>
        <v/>
      </c>
      <c r="E184" s="23"/>
      <c r="F184" s="23" t="str">
        <f t="shared" si="10"/>
        <v/>
      </c>
      <c r="G184" s="26" t="str">
        <f>IF(B184="","",SUMIFS(Vendite_Patch!$F$4:$F$303,Vendite_Patch!$L$4:$L$303,B184,Vendite_Patch!$I$4:$I$303,"Sì"))</f>
        <v/>
      </c>
      <c r="H184" s="26"/>
      <c r="I184" s="26" t="str">
        <f t="shared" si="11"/>
        <v/>
      </c>
      <c r="J184" s="19"/>
    </row>
    <row r="185" spans="1:10" ht="22" customHeight="1">
      <c r="A185" s="14"/>
      <c r="B185" s="18"/>
      <c r="C185" s="23"/>
      <c r="D185" s="23" t="str">
        <f>IF(B185="","",SUMIFS(Vendite_Patch!$D$4:$D$303,Vendite_Patch!$L$4:$L$303,B185))</f>
        <v/>
      </c>
      <c r="E185" s="23"/>
      <c r="F185" s="23" t="str">
        <f t="shared" si="10"/>
        <v/>
      </c>
      <c r="G185" s="26" t="str">
        <f>IF(B185="","",SUMIFS(Vendite_Patch!$F$4:$F$303,Vendite_Patch!$L$4:$L$303,B185,Vendite_Patch!$I$4:$I$303,"Sì"))</f>
        <v/>
      </c>
      <c r="H185" s="26"/>
      <c r="I185" s="26" t="str">
        <f t="shared" si="11"/>
        <v/>
      </c>
      <c r="J185" s="19"/>
    </row>
    <row r="186" spans="1:10" ht="22" customHeight="1">
      <c r="A186" s="14"/>
      <c r="B186" s="18"/>
      <c r="C186" s="23"/>
      <c r="D186" s="23" t="str">
        <f>IF(B186="","",SUMIFS(Vendite_Patch!$D$4:$D$303,Vendite_Patch!$L$4:$L$303,B186))</f>
        <v/>
      </c>
      <c r="E186" s="23"/>
      <c r="F186" s="23" t="str">
        <f t="shared" si="10"/>
        <v/>
      </c>
      <c r="G186" s="26" t="str">
        <f>IF(B186="","",SUMIFS(Vendite_Patch!$F$4:$F$303,Vendite_Patch!$L$4:$L$303,B186,Vendite_Patch!$I$4:$I$303,"Sì"))</f>
        <v/>
      </c>
      <c r="H186" s="26"/>
      <c r="I186" s="26" t="str">
        <f t="shared" si="11"/>
        <v/>
      </c>
      <c r="J186" s="19"/>
    </row>
    <row r="187" spans="1:10" ht="22" customHeight="1">
      <c r="A187" s="14"/>
      <c r="B187" s="18"/>
      <c r="C187" s="23"/>
      <c r="D187" s="23" t="str">
        <f>IF(B187="","",SUMIFS(Vendite_Patch!$D$4:$D$303,Vendite_Patch!$L$4:$L$303,B187))</f>
        <v/>
      </c>
      <c r="E187" s="23"/>
      <c r="F187" s="23" t="str">
        <f t="shared" si="10"/>
        <v/>
      </c>
      <c r="G187" s="26" t="str">
        <f>IF(B187="","",SUMIFS(Vendite_Patch!$F$4:$F$303,Vendite_Patch!$L$4:$L$303,B187,Vendite_Patch!$I$4:$I$303,"Sì"))</f>
        <v/>
      </c>
      <c r="H187" s="26"/>
      <c r="I187" s="26" t="str">
        <f t="shared" si="11"/>
        <v/>
      </c>
      <c r="J187" s="19"/>
    </row>
    <row r="188" spans="1:10" ht="22" customHeight="1">
      <c r="A188" s="14"/>
      <c r="B188" s="18"/>
      <c r="C188" s="23"/>
      <c r="D188" s="23" t="str">
        <f>IF(B188="","",SUMIFS(Vendite_Patch!$D$4:$D$303,Vendite_Patch!$L$4:$L$303,B188))</f>
        <v/>
      </c>
      <c r="E188" s="23"/>
      <c r="F188" s="23" t="str">
        <f t="shared" si="10"/>
        <v/>
      </c>
      <c r="G188" s="26" t="str">
        <f>IF(B188="","",SUMIFS(Vendite_Patch!$F$4:$F$303,Vendite_Patch!$L$4:$L$303,B188,Vendite_Patch!$I$4:$I$303,"Sì"))</f>
        <v/>
      </c>
      <c r="H188" s="26"/>
      <c r="I188" s="26" t="str">
        <f t="shared" si="11"/>
        <v/>
      </c>
      <c r="J188" s="19"/>
    </row>
    <row r="189" spans="1:10" ht="22" customHeight="1">
      <c r="A189" s="14"/>
      <c r="B189" s="18"/>
      <c r="C189" s="23"/>
      <c r="D189" s="23" t="str">
        <f>IF(B189="","",SUMIFS(Vendite_Patch!$D$4:$D$303,Vendite_Patch!$L$4:$L$303,B189))</f>
        <v/>
      </c>
      <c r="E189" s="23"/>
      <c r="F189" s="23" t="str">
        <f t="shared" si="10"/>
        <v/>
      </c>
      <c r="G189" s="26" t="str">
        <f>IF(B189="","",SUMIFS(Vendite_Patch!$F$4:$F$303,Vendite_Patch!$L$4:$L$303,B189,Vendite_Patch!$I$4:$I$303,"Sì"))</f>
        <v/>
      </c>
      <c r="H189" s="26"/>
      <c r="I189" s="26" t="str">
        <f t="shared" si="11"/>
        <v/>
      </c>
      <c r="J189" s="19"/>
    </row>
    <row r="190" spans="1:10" ht="22" customHeight="1">
      <c r="A190" s="14"/>
      <c r="B190" s="18"/>
      <c r="C190" s="23"/>
      <c r="D190" s="23" t="str">
        <f>IF(B190="","",SUMIFS(Vendite_Patch!$D$4:$D$303,Vendite_Patch!$L$4:$L$303,B190))</f>
        <v/>
      </c>
      <c r="E190" s="23"/>
      <c r="F190" s="23" t="str">
        <f t="shared" si="10"/>
        <v/>
      </c>
      <c r="G190" s="26" t="str">
        <f>IF(B190="","",SUMIFS(Vendite_Patch!$F$4:$F$303,Vendite_Patch!$L$4:$L$303,B190,Vendite_Patch!$I$4:$I$303,"Sì"))</f>
        <v/>
      </c>
      <c r="H190" s="26"/>
      <c r="I190" s="26" t="str">
        <f t="shared" si="11"/>
        <v/>
      </c>
      <c r="J190" s="19"/>
    </row>
    <row r="191" spans="1:10" ht="22" customHeight="1">
      <c r="A191" s="14"/>
      <c r="B191" s="18"/>
      <c r="C191" s="23"/>
      <c r="D191" s="23" t="str">
        <f>IF(B191="","",SUMIFS(Vendite_Patch!$D$4:$D$303,Vendite_Patch!$L$4:$L$303,B191))</f>
        <v/>
      </c>
      <c r="E191" s="23"/>
      <c r="F191" s="23" t="str">
        <f t="shared" si="10"/>
        <v/>
      </c>
      <c r="G191" s="26" t="str">
        <f>IF(B191="","",SUMIFS(Vendite_Patch!$F$4:$F$303,Vendite_Patch!$L$4:$L$303,B191,Vendite_Patch!$I$4:$I$303,"Sì"))</f>
        <v/>
      </c>
      <c r="H191" s="26"/>
      <c r="I191" s="26" t="str">
        <f t="shared" si="11"/>
        <v/>
      </c>
      <c r="J191" s="19"/>
    </row>
    <row r="192" spans="1:10" ht="22" customHeight="1">
      <c r="A192" s="14"/>
      <c r="B192" s="18"/>
      <c r="C192" s="23"/>
      <c r="D192" s="23" t="str">
        <f>IF(B192="","",SUMIFS(Vendite_Patch!$D$4:$D$303,Vendite_Patch!$L$4:$L$303,B192))</f>
        <v/>
      </c>
      <c r="E192" s="23"/>
      <c r="F192" s="23" t="str">
        <f t="shared" si="10"/>
        <v/>
      </c>
      <c r="G192" s="26" t="str">
        <f>IF(B192="","",SUMIFS(Vendite_Patch!$F$4:$F$303,Vendite_Patch!$L$4:$L$303,B192,Vendite_Patch!$I$4:$I$303,"Sì"))</f>
        <v/>
      </c>
      <c r="H192" s="26"/>
      <c r="I192" s="26" t="str">
        <f t="shared" si="11"/>
        <v/>
      </c>
      <c r="J192" s="19"/>
    </row>
    <row r="193" spans="1:10" ht="22" customHeight="1">
      <c r="A193" s="14"/>
      <c r="B193" s="18"/>
      <c r="C193" s="23"/>
      <c r="D193" s="23" t="str">
        <f>IF(B193="","",SUMIFS(Vendite_Patch!$D$4:$D$303,Vendite_Patch!$L$4:$L$303,B193))</f>
        <v/>
      </c>
      <c r="E193" s="23"/>
      <c r="F193" s="23" t="str">
        <f t="shared" si="10"/>
        <v/>
      </c>
      <c r="G193" s="26" t="str">
        <f>IF(B193="","",SUMIFS(Vendite_Patch!$F$4:$F$303,Vendite_Patch!$L$4:$L$303,B193,Vendite_Patch!$I$4:$I$303,"Sì"))</f>
        <v/>
      </c>
      <c r="H193" s="26"/>
      <c r="I193" s="26" t="str">
        <f t="shared" si="11"/>
        <v/>
      </c>
      <c r="J193" s="19"/>
    </row>
    <row r="194" spans="1:10" ht="22" customHeight="1">
      <c r="A194" s="14"/>
      <c r="B194" s="18"/>
      <c r="C194" s="23"/>
      <c r="D194" s="23" t="str">
        <f>IF(B194="","",SUMIFS(Vendite_Patch!$D$4:$D$303,Vendite_Patch!$L$4:$L$303,B194))</f>
        <v/>
      </c>
      <c r="E194" s="23"/>
      <c r="F194" s="23" t="str">
        <f t="shared" si="10"/>
        <v/>
      </c>
      <c r="G194" s="26" t="str">
        <f>IF(B194="","",SUMIFS(Vendite_Patch!$F$4:$F$303,Vendite_Patch!$L$4:$L$303,B194,Vendite_Patch!$I$4:$I$303,"Sì"))</f>
        <v/>
      </c>
      <c r="H194" s="26"/>
      <c r="I194" s="26" t="str">
        <f t="shared" si="11"/>
        <v/>
      </c>
      <c r="J194" s="19"/>
    </row>
    <row r="195" spans="1:10" ht="22" customHeight="1">
      <c r="A195" s="14"/>
      <c r="B195" s="18"/>
      <c r="C195" s="23"/>
      <c r="D195" s="23" t="str">
        <f>IF(B195="","",SUMIFS(Vendite_Patch!$D$4:$D$303,Vendite_Patch!$L$4:$L$303,B195))</f>
        <v/>
      </c>
      <c r="E195" s="23"/>
      <c r="F195" s="23" t="str">
        <f t="shared" si="10"/>
        <v/>
      </c>
      <c r="G195" s="26" t="str">
        <f>IF(B195="","",SUMIFS(Vendite_Patch!$F$4:$F$303,Vendite_Patch!$L$4:$L$303,B195,Vendite_Patch!$I$4:$I$303,"Sì"))</f>
        <v/>
      </c>
      <c r="H195" s="26"/>
      <c r="I195" s="26" t="str">
        <f t="shared" si="11"/>
        <v/>
      </c>
      <c r="J195" s="19"/>
    </row>
    <row r="196" spans="1:10" ht="22" customHeight="1">
      <c r="A196" s="14"/>
      <c r="B196" s="18"/>
      <c r="C196" s="23"/>
      <c r="D196" s="23" t="str">
        <f>IF(B196="","",SUMIFS(Vendite_Patch!$D$4:$D$303,Vendite_Patch!$L$4:$L$303,B196))</f>
        <v/>
      </c>
      <c r="E196" s="23"/>
      <c r="F196" s="23" t="str">
        <f t="shared" ref="F196:F203" si="12">IF(B196="","",MAX(C196-D196-E196,0))</f>
        <v/>
      </c>
      <c r="G196" s="26" t="str">
        <f>IF(B196="","",SUMIFS(Vendite_Patch!$F$4:$F$303,Vendite_Patch!$L$4:$L$303,B196,Vendite_Patch!$I$4:$I$303,"Sì"))</f>
        <v/>
      </c>
      <c r="H196" s="26"/>
      <c r="I196" s="26" t="str">
        <f t="shared" ref="I196:I203" si="13">IF(B196="","",MAX(G196-H196,0))</f>
        <v/>
      </c>
      <c r="J196" s="19"/>
    </row>
    <row r="197" spans="1:10" ht="22" customHeight="1">
      <c r="A197" s="14"/>
      <c r="B197" s="18"/>
      <c r="C197" s="23"/>
      <c r="D197" s="23" t="str">
        <f>IF(B197="","",SUMIFS(Vendite_Patch!$D$4:$D$303,Vendite_Patch!$L$4:$L$303,B197))</f>
        <v/>
      </c>
      <c r="E197" s="23"/>
      <c r="F197" s="23" t="str">
        <f t="shared" si="12"/>
        <v/>
      </c>
      <c r="G197" s="26" t="str">
        <f>IF(B197="","",SUMIFS(Vendite_Patch!$F$4:$F$303,Vendite_Patch!$L$4:$L$303,B197,Vendite_Patch!$I$4:$I$303,"Sì"))</f>
        <v/>
      </c>
      <c r="H197" s="26"/>
      <c r="I197" s="26" t="str">
        <f t="shared" si="13"/>
        <v/>
      </c>
      <c r="J197" s="19"/>
    </row>
    <row r="198" spans="1:10" ht="22" customHeight="1">
      <c r="A198" s="14"/>
      <c r="B198" s="18"/>
      <c r="C198" s="23"/>
      <c r="D198" s="23" t="str">
        <f>IF(B198="","",SUMIFS(Vendite_Patch!$D$4:$D$303,Vendite_Patch!$L$4:$L$303,B198))</f>
        <v/>
      </c>
      <c r="E198" s="23"/>
      <c r="F198" s="23" t="str">
        <f t="shared" si="12"/>
        <v/>
      </c>
      <c r="G198" s="26" t="str">
        <f>IF(B198="","",SUMIFS(Vendite_Patch!$F$4:$F$303,Vendite_Patch!$L$4:$L$303,B198,Vendite_Patch!$I$4:$I$303,"Sì"))</f>
        <v/>
      </c>
      <c r="H198" s="26"/>
      <c r="I198" s="26" t="str">
        <f t="shared" si="13"/>
        <v/>
      </c>
      <c r="J198" s="19"/>
    </row>
    <row r="199" spans="1:10" ht="22" customHeight="1">
      <c r="A199" s="14"/>
      <c r="B199" s="18"/>
      <c r="C199" s="23"/>
      <c r="D199" s="23" t="str">
        <f>IF(B199="","",SUMIFS(Vendite_Patch!$D$4:$D$303,Vendite_Patch!$L$4:$L$303,B199))</f>
        <v/>
      </c>
      <c r="E199" s="23"/>
      <c r="F199" s="23" t="str">
        <f t="shared" si="12"/>
        <v/>
      </c>
      <c r="G199" s="26" t="str">
        <f>IF(B199="","",SUMIFS(Vendite_Patch!$F$4:$F$303,Vendite_Patch!$L$4:$L$303,B199,Vendite_Patch!$I$4:$I$303,"Sì"))</f>
        <v/>
      </c>
      <c r="H199" s="26"/>
      <c r="I199" s="26" t="str">
        <f t="shared" si="13"/>
        <v/>
      </c>
      <c r="J199" s="19"/>
    </row>
    <row r="200" spans="1:10" ht="22" customHeight="1">
      <c r="A200" s="14"/>
      <c r="B200" s="18"/>
      <c r="C200" s="23"/>
      <c r="D200" s="23" t="str">
        <f>IF(B200="","",SUMIFS(Vendite_Patch!$D$4:$D$303,Vendite_Patch!$L$4:$L$303,B200))</f>
        <v/>
      </c>
      <c r="E200" s="23"/>
      <c r="F200" s="23" t="str">
        <f t="shared" si="12"/>
        <v/>
      </c>
      <c r="G200" s="26" t="str">
        <f>IF(B200="","",SUMIFS(Vendite_Patch!$F$4:$F$303,Vendite_Patch!$L$4:$L$303,B200,Vendite_Patch!$I$4:$I$303,"Sì"))</f>
        <v/>
      </c>
      <c r="H200" s="26"/>
      <c r="I200" s="26" t="str">
        <f t="shared" si="13"/>
        <v/>
      </c>
      <c r="J200" s="19"/>
    </row>
    <row r="201" spans="1:10" ht="22" customHeight="1">
      <c r="A201" s="14"/>
      <c r="B201" s="18"/>
      <c r="C201" s="23"/>
      <c r="D201" s="23" t="str">
        <f>IF(B201="","",SUMIFS(Vendite_Patch!$D$4:$D$303,Vendite_Patch!$L$4:$L$303,B201))</f>
        <v/>
      </c>
      <c r="E201" s="23"/>
      <c r="F201" s="23" t="str">
        <f t="shared" si="12"/>
        <v/>
      </c>
      <c r="G201" s="26" t="str">
        <f>IF(B201="","",SUMIFS(Vendite_Patch!$F$4:$F$303,Vendite_Patch!$L$4:$L$303,B201,Vendite_Patch!$I$4:$I$303,"Sì"))</f>
        <v/>
      </c>
      <c r="H201" s="26"/>
      <c r="I201" s="26" t="str">
        <f t="shared" si="13"/>
        <v/>
      </c>
      <c r="J201" s="19"/>
    </row>
    <row r="202" spans="1:10" ht="22" customHeight="1">
      <c r="A202" s="14"/>
      <c r="B202" s="18"/>
      <c r="C202" s="23"/>
      <c r="D202" s="23" t="str">
        <f>IF(B202="","",SUMIFS(Vendite_Patch!$D$4:$D$303,Vendite_Patch!$L$4:$L$303,B202))</f>
        <v/>
      </c>
      <c r="E202" s="23"/>
      <c r="F202" s="23" t="str">
        <f t="shared" si="12"/>
        <v/>
      </c>
      <c r="G202" s="26" t="str">
        <f>IF(B202="","",SUMIFS(Vendite_Patch!$F$4:$F$303,Vendite_Patch!$L$4:$L$303,B202,Vendite_Patch!$I$4:$I$303,"Sì"))</f>
        <v/>
      </c>
      <c r="H202" s="26"/>
      <c r="I202" s="26" t="str">
        <f t="shared" si="13"/>
        <v/>
      </c>
      <c r="J202" s="19"/>
    </row>
    <row r="203" spans="1:10" ht="22" customHeight="1">
      <c r="A203" s="14"/>
      <c r="B203" s="20"/>
      <c r="C203" s="24"/>
      <c r="D203" s="24" t="str">
        <f>IF(B203="","",SUMIFS(Vendite_Patch!$D$4:$D$303,Vendite_Patch!$L$4:$L$303,B203))</f>
        <v/>
      </c>
      <c r="E203" s="24"/>
      <c r="F203" s="24" t="str">
        <f t="shared" si="12"/>
        <v/>
      </c>
      <c r="G203" s="27" t="str">
        <f>IF(B203="","",SUMIFS(Vendite_Patch!$F$4:$F$303,Vendite_Patch!$L$4:$L$303,B203,Vendite_Patch!$I$4:$I$303,"Sì"))</f>
        <v/>
      </c>
      <c r="H203" s="27"/>
      <c r="I203" s="27" t="str">
        <f t="shared" si="13"/>
        <v/>
      </c>
      <c r="J203" s="21"/>
    </row>
  </sheetData>
  <mergeCells count="2">
    <mergeCell ref="A1:J1"/>
    <mergeCell ref="A2:J2"/>
  </mergeCells>
  <dataValidations count="3">
    <dataValidation type="date" sqref="A4:A203" xr:uid="{00000000-0002-0000-0900-000000000000}">
      <formula1>2020-1-1</formula1>
      <formula2>2100-12-31</formula2>
    </dataValidation>
    <dataValidation type="whole" operator="greaterThanOrEqual" sqref="C4:C203 E4:E203" xr:uid="{00000000-0002-0000-0900-000002000000}">
      <formula1>0</formula1>
    </dataValidation>
    <dataValidation type="decimal" operator="greaterThanOrEqual" sqref="H4:H203" xr:uid="{00000000-0002-0000-0900-000004000000}">
      <formula1>0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900-000001000000}">
          <x14:formula1>
            <xm:f>Venditori_Affidatari!$B$4:$B$103</xm:f>
          </x14:formula1>
          <xm:sqref>B4:B203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103"/>
  <sheetViews>
    <sheetView showGridLines="0" zoomScale="125" workbookViewId="0">
      <selection activeCell="C10" sqref="C10"/>
    </sheetView>
  </sheetViews>
  <sheetFormatPr baseColWidth="10" defaultColWidth="8.83203125" defaultRowHeight="14"/>
  <cols>
    <col min="1" max="1" width="16" customWidth="1"/>
    <col min="2" max="2" width="27" customWidth="1"/>
    <col min="3" max="3" width="40" customWidth="1"/>
  </cols>
  <sheetData>
    <row r="1" spans="1:3" ht="27" customHeight="1">
      <c r="A1" s="40" t="s">
        <v>218</v>
      </c>
      <c r="B1" s="40"/>
      <c r="C1" s="40"/>
    </row>
    <row r="2" spans="1:3" ht="38" customHeight="1">
      <c r="A2" s="41" t="s">
        <v>219</v>
      </c>
      <c r="B2" s="41"/>
      <c r="C2" s="41"/>
    </row>
    <row r="3" spans="1:3" ht="28" customHeight="1">
      <c r="A3" s="29" t="s">
        <v>220</v>
      </c>
      <c r="B3" s="29" t="s">
        <v>93</v>
      </c>
      <c r="C3" s="29" t="s">
        <v>15</v>
      </c>
    </row>
    <row r="4" spans="1:3" ht="22" customHeight="1">
      <c r="A4" s="42" t="s">
        <v>221</v>
      </c>
      <c r="B4" s="43" t="str">
        <f>Persone_Quote!B4</f>
        <v>Capodanno</v>
      </c>
      <c r="C4" s="44" t="s">
        <v>222</v>
      </c>
    </row>
    <row r="5" spans="1:3" ht="22" customHeight="1">
      <c r="A5" s="45" t="s">
        <v>221</v>
      </c>
      <c r="B5" s="46" t="str">
        <f>Persone_Quote!B5</f>
        <v>Caggia</v>
      </c>
      <c r="C5" s="47" t="s">
        <v>222</v>
      </c>
    </row>
    <row r="6" spans="1:3" ht="22" customHeight="1">
      <c r="A6" s="45" t="s">
        <v>221</v>
      </c>
      <c r="B6" s="46" t="str">
        <f>Persone_Quote!B6</f>
        <v>Marchesani</v>
      </c>
      <c r="C6" s="47" t="s">
        <v>222</v>
      </c>
    </row>
    <row r="7" spans="1:3" ht="22" customHeight="1">
      <c r="A7" s="45" t="s">
        <v>221</v>
      </c>
      <c r="B7" s="46" t="str">
        <f>Persone_Quote!B7</f>
        <v>Zubenko</v>
      </c>
      <c r="C7" s="47" t="s">
        <v>222</v>
      </c>
    </row>
    <row r="8" spans="1:3" ht="22" customHeight="1">
      <c r="A8" s="45" t="s">
        <v>221</v>
      </c>
      <c r="B8" s="46" t="str">
        <f>Persone_Quote!B8</f>
        <v>Losito</v>
      </c>
      <c r="C8" s="47" t="s">
        <v>222</v>
      </c>
    </row>
    <row r="9" spans="1:3" ht="22" customHeight="1">
      <c r="A9" s="45" t="s">
        <v>221</v>
      </c>
      <c r="B9" s="46" t="str">
        <f>Persone_Quote!B9</f>
        <v>Di Stefano</v>
      </c>
      <c r="C9" s="47" t="s">
        <v>222</v>
      </c>
    </row>
    <row r="10" spans="1:3" ht="22" customHeight="1">
      <c r="A10" s="45" t="s">
        <v>221</v>
      </c>
      <c r="B10" s="46" t="str">
        <f>Persone_Quote!B10</f>
        <v>Palladino</v>
      </c>
      <c r="C10" s="47" t="s">
        <v>222</v>
      </c>
    </row>
    <row r="11" spans="1:3" ht="22" customHeight="1">
      <c r="A11" s="45" t="s">
        <v>221</v>
      </c>
      <c r="B11" s="46" t="str">
        <f>Persone_Quote!B11</f>
        <v>Locorotondo</v>
      </c>
      <c r="C11" s="47" t="s">
        <v>222</v>
      </c>
    </row>
    <row r="12" spans="1:3" ht="22" customHeight="1">
      <c r="A12" s="45" t="s">
        <v>221</v>
      </c>
      <c r="B12" s="46" t="str">
        <f>Persone_Quote!B12</f>
        <v>Pertosa</v>
      </c>
      <c r="C12" s="47" t="s">
        <v>222</v>
      </c>
    </row>
    <row r="13" spans="1:3" ht="22" customHeight="1">
      <c r="A13" s="45" t="s">
        <v>221</v>
      </c>
      <c r="B13" s="46" t="str">
        <f>Persone_Quote!B13</f>
        <v>Ottaiano</v>
      </c>
      <c r="C13" s="47" t="s">
        <v>222</v>
      </c>
    </row>
    <row r="14" spans="1:3" ht="22" customHeight="1">
      <c r="A14" s="45" t="s">
        <v>221</v>
      </c>
      <c r="B14" s="46" t="str">
        <f>Persone_Quote!B14</f>
        <v>Fragnito</v>
      </c>
      <c r="C14" s="47" t="s">
        <v>222</v>
      </c>
    </row>
    <row r="15" spans="1:3" ht="22" customHeight="1">
      <c r="A15" s="45" t="s">
        <v>221</v>
      </c>
      <c r="B15" s="46" t="str">
        <f>Persone_Quote!B15</f>
        <v>Murolo</v>
      </c>
      <c r="C15" s="47" t="s">
        <v>222</v>
      </c>
    </row>
    <row r="16" spans="1:3" ht="22" customHeight="1">
      <c r="A16" s="45" t="s">
        <v>221</v>
      </c>
      <c r="B16" s="46" t="str">
        <f>Persone_Quote!B16</f>
        <v>Palma</v>
      </c>
      <c r="C16" s="47" t="s">
        <v>222</v>
      </c>
    </row>
    <row r="17" spans="1:3" ht="22" customHeight="1">
      <c r="A17" s="45" t="s">
        <v>221</v>
      </c>
      <c r="B17" s="46" t="str">
        <f>Persone_Quote!B17</f>
        <v>Babele</v>
      </c>
      <c r="C17" s="47" t="s">
        <v>222</v>
      </c>
    </row>
    <row r="18" spans="1:3" ht="22" customHeight="1">
      <c r="A18" s="45" t="s">
        <v>221</v>
      </c>
      <c r="B18" s="46" t="str">
        <f>Persone_Quote!B18</f>
        <v>Torrente</v>
      </c>
      <c r="C18" s="47" t="s">
        <v>222</v>
      </c>
    </row>
    <row r="19" spans="1:3" ht="22" customHeight="1">
      <c r="A19" s="48" t="s">
        <v>223</v>
      </c>
      <c r="B19" s="49" t="s">
        <v>133</v>
      </c>
      <c r="C19" s="50"/>
    </row>
    <row r="20" spans="1:3" ht="22" customHeight="1">
      <c r="A20" s="48" t="s">
        <v>223</v>
      </c>
      <c r="B20" s="49" t="s">
        <v>157</v>
      </c>
      <c r="C20" s="50"/>
    </row>
    <row r="21" spans="1:3" ht="22" customHeight="1">
      <c r="A21" s="48" t="s">
        <v>223</v>
      </c>
      <c r="B21" s="49"/>
      <c r="C21" s="50"/>
    </row>
    <row r="22" spans="1:3" ht="22" customHeight="1">
      <c r="A22" s="48" t="s">
        <v>223</v>
      </c>
      <c r="B22" s="49"/>
      <c r="C22" s="50"/>
    </row>
    <row r="23" spans="1:3" ht="22" customHeight="1">
      <c r="A23" s="48" t="s">
        <v>223</v>
      </c>
      <c r="B23" s="49"/>
      <c r="C23" s="50"/>
    </row>
    <row r="24" spans="1:3" ht="22" customHeight="1">
      <c r="A24" s="48" t="s">
        <v>223</v>
      </c>
      <c r="B24" s="49"/>
      <c r="C24" s="50"/>
    </row>
    <row r="25" spans="1:3" ht="22" customHeight="1">
      <c r="A25" s="48" t="s">
        <v>223</v>
      </c>
      <c r="B25" s="49"/>
      <c r="C25" s="50"/>
    </row>
    <row r="26" spans="1:3" ht="22" customHeight="1">
      <c r="A26" s="48" t="s">
        <v>223</v>
      </c>
      <c r="B26" s="49"/>
      <c r="C26" s="50"/>
    </row>
    <row r="27" spans="1:3" ht="22" customHeight="1">
      <c r="A27" s="48" t="s">
        <v>223</v>
      </c>
      <c r="B27" s="49"/>
      <c r="C27" s="50"/>
    </row>
    <row r="28" spans="1:3" ht="22" customHeight="1">
      <c r="A28" s="48" t="s">
        <v>223</v>
      </c>
      <c r="B28" s="49"/>
      <c r="C28" s="50"/>
    </row>
    <row r="29" spans="1:3" ht="22" customHeight="1">
      <c r="A29" s="48" t="s">
        <v>223</v>
      </c>
      <c r="B29" s="49"/>
      <c r="C29" s="50"/>
    </row>
    <row r="30" spans="1:3" ht="22" customHeight="1">
      <c r="A30" s="48" t="s">
        <v>223</v>
      </c>
      <c r="B30" s="49"/>
      <c r="C30" s="50"/>
    </row>
    <row r="31" spans="1:3" ht="22" customHeight="1">
      <c r="A31" s="48" t="s">
        <v>223</v>
      </c>
      <c r="B31" s="49"/>
      <c r="C31" s="50"/>
    </row>
    <row r="32" spans="1:3" ht="22" customHeight="1">
      <c r="A32" s="48" t="s">
        <v>223</v>
      </c>
      <c r="B32" s="49"/>
      <c r="C32" s="50"/>
    </row>
    <row r="33" spans="1:3" ht="22" customHeight="1">
      <c r="A33" s="48" t="s">
        <v>223</v>
      </c>
      <c r="B33" s="49"/>
      <c r="C33" s="50"/>
    </row>
    <row r="34" spans="1:3" ht="22" customHeight="1">
      <c r="A34" s="48" t="s">
        <v>223</v>
      </c>
      <c r="B34" s="49"/>
      <c r="C34" s="50"/>
    </row>
    <row r="35" spans="1:3" ht="22" customHeight="1">
      <c r="A35" s="48" t="s">
        <v>223</v>
      </c>
      <c r="B35" s="49"/>
      <c r="C35" s="50"/>
    </row>
    <row r="36" spans="1:3" ht="22" customHeight="1">
      <c r="A36" s="48" t="s">
        <v>223</v>
      </c>
      <c r="B36" s="49"/>
      <c r="C36" s="50"/>
    </row>
    <row r="37" spans="1:3" ht="22" customHeight="1">
      <c r="A37" s="48" t="s">
        <v>223</v>
      </c>
      <c r="B37" s="49"/>
      <c r="C37" s="50"/>
    </row>
    <row r="38" spans="1:3" ht="22" customHeight="1">
      <c r="A38" s="48" t="s">
        <v>223</v>
      </c>
      <c r="B38" s="49"/>
      <c r="C38" s="50"/>
    </row>
    <row r="39" spans="1:3" ht="22" customHeight="1">
      <c r="A39" s="48" t="s">
        <v>223</v>
      </c>
      <c r="B39" s="49"/>
      <c r="C39" s="50"/>
    </row>
    <row r="40" spans="1:3" ht="22" customHeight="1">
      <c r="A40" s="48" t="s">
        <v>223</v>
      </c>
      <c r="B40" s="49"/>
      <c r="C40" s="50"/>
    </row>
    <row r="41" spans="1:3" ht="22" customHeight="1">
      <c r="A41" s="48" t="s">
        <v>223</v>
      </c>
      <c r="B41" s="49"/>
      <c r="C41" s="50"/>
    </row>
    <row r="42" spans="1:3" ht="22" customHeight="1">
      <c r="A42" s="48" t="s">
        <v>223</v>
      </c>
      <c r="B42" s="49"/>
      <c r="C42" s="50"/>
    </row>
    <row r="43" spans="1:3" ht="22" customHeight="1">
      <c r="A43" s="48" t="s">
        <v>223</v>
      </c>
      <c r="B43" s="49"/>
      <c r="C43" s="50"/>
    </row>
    <row r="44" spans="1:3" ht="22" customHeight="1">
      <c r="A44" s="48" t="s">
        <v>223</v>
      </c>
      <c r="B44" s="49"/>
      <c r="C44" s="50"/>
    </row>
    <row r="45" spans="1:3" ht="22" customHeight="1">
      <c r="A45" s="48" t="s">
        <v>223</v>
      </c>
      <c r="B45" s="49"/>
      <c r="C45" s="50"/>
    </row>
    <row r="46" spans="1:3" ht="22" customHeight="1">
      <c r="A46" s="48" t="s">
        <v>223</v>
      </c>
      <c r="B46" s="49"/>
      <c r="C46" s="50"/>
    </row>
    <row r="47" spans="1:3" ht="22" customHeight="1">
      <c r="A47" s="48" t="s">
        <v>223</v>
      </c>
      <c r="B47" s="49"/>
      <c r="C47" s="50"/>
    </row>
    <row r="48" spans="1:3" ht="22" customHeight="1">
      <c r="A48" s="48" t="s">
        <v>223</v>
      </c>
      <c r="B48" s="49"/>
      <c r="C48" s="50"/>
    </row>
    <row r="49" spans="1:3" ht="22" customHeight="1">
      <c r="A49" s="48" t="s">
        <v>223</v>
      </c>
      <c r="B49" s="49"/>
      <c r="C49" s="50"/>
    </row>
    <row r="50" spans="1:3" ht="22" customHeight="1">
      <c r="A50" s="48" t="s">
        <v>223</v>
      </c>
      <c r="B50" s="49"/>
      <c r="C50" s="50"/>
    </row>
    <row r="51" spans="1:3" ht="22" customHeight="1">
      <c r="A51" s="48" t="s">
        <v>223</v>
      </c>
      <c r="B51" s="49"/>
      <c r="C51" s="50"/>
    </row>
    <row r="52" spans="1:3" ht="22" customHeight="1">
      <c r="A52" s="48" t="s">
        <v>223</v>
      </c>
      <c r="B52" s="49"/>
      <c r="C52" s="50"/>
    </row>
    <row r="53" spans="1:3" ht="22" customHeight="1">
      <c r="A53" s="48" t="s">
        <v>223</v>
      </c>
      <c r="B53" s="49"/>
      <c r="C53" s="50"/>
    </row>
    <row r="54" spans="1:3" ht="22" customHeight="1">
      <c r="A54" s="48" t="s">
        <v>223</v>
      </c>
      <c r="B54" s="49"/>
      <c r="C54" s="50"/>
    </row>
    <row r="55" spans="1:3" ht="22" customHeight="1">
      <c r="A55" s="48" t="s">
        <v>223</v>
      </c>
      <c r="B55" s="49"/>
      <c r="C55" s="50"/>
    </row>
    <row r="56" spans="1:3" ht="22" customHeight="1">
      <c r="A56" s="48" t="s">
        <v>223</v>
      </c>
      <c r="B56" s="49"/>
      <c r="C56" s="50"/>
    </row>
    <row r="57" spans="1:3" ht="22" customHeight="1">
      <c r="A57" s="48" t="s">
        <v>223</v>
      </c>
      <c r="B57" s="49"/>
      <c r="C57" s="50"/>
    </row>
    <row r="58" spans="1:3" ht="22" customHeight="1">
      <c r="A58" s="48" t="s">
        <v>223</v>
      </c>
      <c r="B58" s="49"/>
      <c r="C58" s="50"/>
    </row>
    <row r="59" spans="1:3" ht="22" customHeight="1">
      <c r="A59" s="48" t="s">
        <v>223</v>
      </c>
      <c r="B59" s="49"/>
      <c r="C59" s="50"/>
    </row>
    <row r="60" spans="1:3" ht="22" customHeight="1">
      <c r="A60" s="48" t="s">
        <v>223</v>
      </c>
      <c r="B60" s="49"/>
      <c r="C60" s="50"/>
    </row>
    <row r="61" spans="1:3" ht="22" customHeight="1">
      <c r="A61" s="48" t="s">
        <v>223</v>
      </c>
      <c r="B61" s="49"/>
      <c r="C61" s="50"/>
    </row>
    <row r="62" spans="1:3" ht="22" customHeight="1">
      <c r="A62" s="48" t="s">
        <v>223</v>
      </c>
      <c r="B62" s="49"/>
      <c r="C62" s="50"/>
    </row>
    <row r="63" spans="1:3" ht="22" customHeight="1">
      <c r="A63" s="48" t="s">
        <v>223</v>
      </c>
      <c r="B63" s="49"/>
      <c r="C63" s="50"/>
    </row>
    <row r="64" spans="1:3" ht="22" customHeight="1">
      <c r="A64" s="48" t="s">
        <v>223</v>
      </c>
      <c r="B64" s="49"/>
      <c r="C64" s="50"/>
    </row>
    <row r="65" spans="1:3" ht="22" customHeight="1">
      <c r="A65" s="48" t="s">
        <v>223</v>
      </c>
      <c r="B65" s="49"/>
      <c r="C65" s="50"/>
    </row>
    <row r="66" spans="1:3" ht="22" customHeight="1">
      <c r="A66" s="48" t="s">
        <v>223</v>
      </c>
      <c r="B66" s="49"/>
      <c r="C66" s="50"/>
    </row>
    <row r="67" spans="1:3" ht="22" customHeight="1">
      <c r="A67" s="48" t="s">
        <v>223</v>
      </c>
      <c r="B67" s="49"/>
      <c r="C67" s="50"/>
    </row>
    <row r="68" spans="1:3" ht="22" customHeight="1">
      <c r="A68" s="48" t="s">
        <v>223</v>
      </c>
      <c r="B68" s="49"/>
      <c r="C68" s="50"/>
    </row>
    <row r="69" spans="1:3" ht="22" customHeight="1">
      <c r="A69" s="48" t="s">
        <v>223</v>
      </c>
      <c r="B69" s="49"/>
      <c r="C69" s="50"/>
    </row>
    <row r="70" spans="1:3" ht="22" customHeight="1">
      <c r="A70" s="48" t="s">
        <v>223</v>
      </c>
      <c r="B70" s="49"/>
      <c r="C70" s="50"/>
    </row>
    <row r="71" spans="1:3" ht="22" customHeight="1">
      <c r="A71" s="48" t="s">
        <v>223</v>
      </c>
      <c r="B71" s="49"/>
      <c r="C71" s="50"/>
    </row>
    <row r="72" spans="1:3" ht="22" customHeight="1">
      <c r="A72" s="48" t="s">
        <v>223</v>
      </c>
      <c r="B72" s="49"/>
      <c r="C72" s="50"/>
    </row>
    <row r="73" spans="1:3" ht="22" customHeight="1">
      <c r="A73" s="48" t="s">
        <v>223</v>
      </c>
      <c r="B73" s="49"/>
      <c r="C73" s="50"/>
    </row>
    <row r="74" spans="1:3" ht="22" customHeight="1">
      <c r="A74" s="48" t="s">
        <v>223</v>
      </c>
      <c r="B74" s="49"/>
      <c r="C74" s="50"/>
    </row>
    <row r="75" spans="1:3" ht="22" customHeight="1">
      <c r="A75" s="48" t="s">
        <v>223</v>
      </c>
      <c r="B75" s="49"/>
      <c r="C75" s="50"/>
    </row>
    <row r="76" spans="1:3" ht="22" customHeight="1">
      <c r="A76" s="48" t="s">
        <v>223</v>
      </c>
      <c r="B76" s="49"/>
      <c r="C76" s="50"/>
    </row>
    <row r="77" spans="1:3" ht="22" customHeight="1">
      <c r="A77" s="48" t="s">
        <v>223</v>
      </c>
      <c r="B77" s="49"/>
      <c r="C77" s="50"/>
    </row>
    <row r="78" spans="1:3" ht="22" customHeight="1">
      <c r="A78" s="48" t="s">
        <v>223</v>
      </c>
      <c r="B78" s="49"/>
      <c r="C78" s="50"/>
    </row>
    <row r="79" spans="1:3" ht="22" customHeight="1">
      <c r="A79" s="48" t="s">
        <v>223</v>
      </c>
      <c r="B79" s="49"/>
      <c r="C79" s="50"/>
    </row>
    <row r="80" spans="1:3" ht="22" customHeight="1">
      <c r="A80" s="48" t="s">
        <v>223</v>
      </c>
      <c r="B80" s="49"/>
      <c r="C80" s="50"/>
    </row>
    <row r="81" spans="1:3" ht="22" customHeight="1">
      <c r="A81" s="48" t="s">
        <v>223</v>
      </c>
      <c r="B81" s="49"/>
      <c r="C81" s="50"/>
    </row>
    <row r="82" spans="1:3" ht="22" customHeight="1">
      <c r="A82" s="48" t="s">
        <v>223</v>
      </c>
      <c r="B82" s="49"/>
      <c r="C82" s="50"/>
    </row>
    <row r="83" spans="1:3" ht="22" customHeight="1">
      <c r="A83" s="48" t="s">
        <v>223</v>
      </c>
      <c r="B83" s="49"/>
      <c r="C83" s="50"/>
    </row>
    <row r="84" spans="1:3" ht="22" customHeight="1">
      <c r="A84" s="48" t="s">
        <v>223</v>
      </c>
      <c r="B84" s="49"/>
      <c r="C84" s="50"/>
    </row>
    <row r="85" spans="1:3" ht="22" customHeight="1">
      <c r="A85" s="48" t="s">
        <v>223</v>
      </c>
      <c r="B85" s="49"/>
      <c r="C85" s="50"/>
    </row>
    <row r="86" spans="1:3" ht="22" customHeight="1">
      <c r="A86" s="48" t="s">
        <v>223</v>
      </c>
      <c r="B86" s="49"/>
      <c r="C86" s="50"/>
    </row>
    <row r="87" spans="1:3" ht="22" customHeight="1">
      <c r="A87" s="48" t="s">
        <v>223</v>
      </c>
      <c r="B87" s="49"/>
      <c r="C87" s="50"/>
    </row>
    <row r="88" spans="1:3" ht="22" customHeight="1">
      <c r="A88" s="48" t="s">
        <v>223</v>
      </c>
      <c r="B88" s="49"/>
      <c r="C88" s="50"/>
    </row>
    <row r="89" spans="1:3" ht="22" customHeight="1">
      <c r="A89" s="48" t="s">
        <v>223</v>
      </c>
      <c r="B89" s="49"/>
      <c r="C89" s="50"/>
    </row>
    <row r="90" spans="1:3" ht="22" customHeight="1">
      <c r="A90" s="48" t="s">
        <v>223</v>
      </c>
      <c r="B90" s="49"/>
      <c r="C90" s="50"/>
    </row>
    <row r="91" spans="1:3" ht="22" customHeight="1">
      <c r="A91" s="48" t="s">
        <v>223</v>
      </c>
      <c r="B91" s="49"/>
      <c r="C91" s="50"/>
    </row>
    <row r="92" spans="1:3" ht="22" customHeight="1">
      <c r="A92" s="48" t="s">
        <v>223</v>
      </c>
      <c r="B92" s="49"/>
      <c r="C92" s="50"/>
    </row>
    <row r="93" spans="1:3" ht="22" customHeight="1">
      <c r="A93" s="48" t="s">
        <v>223</v>
      </c>
      <c r="B93" s="49"/>
      <c r="C93" s="50"/>
    </row>
    <row r="94" spans="1:3" ht="22" customHeight="1">
      <c r="A94" s="48" t="s">
        <v>223</v>
      </c>
      <c r="B94" s="49"/>
      <c r="C94" s="50"/>
    </row>
    <row r="95" spans="1:3" ht="22" customHeight="1">
      <c r="A95" s="48" t="s">
        <v>223</v>
      </c>
      <c r="B95" s="49"/>
      <c r="C95" s="50"/>
    </row>
    <row r="96" spans="1:3" ht="22" customHeight="1">
      <c r="A96" s="48" t="s">
        <v>223</v>
      </c>
      <c r="B96" s="49"/>
      <c r="C96" s="50"/>
    </row>
    <row r="97" spans="1:3" ht="22" customHeight="1">
      <c r="A97" s="48" t="s">
        <v>223</v>
      </c>
      <c r="B97" s="49"/>
      <c r="C97" s="50"/>
    </row>
    <row r="98" spans="1:3" ht="22" customHeight="1">
      <c r="A98" s="48" t="s">
        <v>223</v>
      </c>
      <c r="B98" s="49"/>
      <c r="C98" s="50"/>
    </row>
    <row r="99" spans="1:3" ht="22" customHeight="1">
      <c r="A99" s="48" t="s">
        <v>223</v>
      </c>
      <c r="B99" s="49"/>
      <c r="C99" s="50"/>
    </row>
    <row r="100" spans="1:3" ht="22" customHeight="1">
      <c r="A100" s="48" t="s">
        <v>223</v>
      </c>
      <c r="B100" s="49"/>
      <c r="C100" s="50"/>
    </row>
    <row r="101" spans="1:3" ht="22" customHeight="1">
      <c r="A101" s="48" t="s">
        <v>223</v>
      </c>
      <c r="B101" s="49"/>
      <c r="C101" s="50"/>
    </row>
    <row r="102" spans="1:3" ht="22" customHeight="1">
      <c r="A102" s="48" t="s">
        <v>223</v>
      </c>
      <c r="B102" s="49"/>
      <c r="C102" s="50"/>
    </row>
    <row r="103" spans="1:3" ht="22" customHeight="1">
      <c r="A103" s="51" t="s">
        <v>223</v>
      </c>
      <c r="B103" s="52"/>
      <c r="C103" s="53"/>
    </row>
  </sheetData>
  <mergeCells count="2">
    <mergeCell ref="A1:C1"/>
    <mergeCell ref="A2:C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Dashboard</vt:lpstr>
      <vt:lpstr>Istruzioni</vt:lpstr>
      <vt:lpstr>Parametri</vt:lpstr>
      <vt:lpstr>Persone_Quote</vt:lpstr>
      <vt:lpstr>Acquisti_Patch</vt:lpstr>
      <vt:lpstr>Vendite_Patch</vt:lpstr>
      <vt:lpstr>Spese_Categoria</vt:lpstr>
      <vt:lpstr>Magazzino_Cassa</vt:lpstr>
      <vt:lpstr>Liste</vt:lpstr>
      <vt:lpstr>Affidamenti_Patch</vt:lpstr>
      <vt:lpstr>Venditori_Affidatari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Angelo Losito</cp:lastModifiedBy>
  <dcterms:modified xsi:type="dcterms:W3CDTF">2026-10-24T10:01:33Z</dcterms:modified>
</cp:coreProperties>
</file>