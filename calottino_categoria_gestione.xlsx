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169BD435-8290-5942-B861-E73C68216DD9}" xr6:coauthVersionLast="47" xr6:coauthVersionMax="47" xr10:uidLastSave="{00000000-0000-0000-0000-000000000000}"/>
  <bookViews>
    <workbookView xWindow="0" yWindow="680" windowWidth="34200" windowHeight="19900" activeTab="5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1" l="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D4" i="10"/>
  <c r="F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F31" i="6"/>
  <c r="H31" i="6" s="1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<sst xmlns="http://schemas.openxmlformats.org/spreadsheetml/2006/main" count="1519" uniqueCount="227">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</sst>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215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59">
  <tableColumns count="9">
    <tableColumn id="1" xr3:uid="{00000000-0010-0000-0000-000001000000}" name="ID" dataDxfId="58"/>
    <tableColumn id="2" xr3:uid="{00000000-0010-0000-0000-000002000000}" name="Nome / Cognome" dataDxfId="57"/>
    <tableColumn id="3" xr3:uid="{00000000-0010-0000-0000-000003000000}" name="Quota dovuta" dataDxfId="56"/>
    <tableColumn id="4" xr3:uid="{00000000-0010-0000-0000-000004000000}" name="Quota pagata" dataDxfId="55"/>
    <tableColumn id="5" xr3:uid="{00000000-0010-0000-0000-000005000000}" name="Saldo" dataDxfId="54">
      <calculatedColumnFormula>D4-C4</calculatedColumnFormula>
    </tableColumn>
    <tableColumn id="6" xr3:uid="{00000000-0010-0000-0000-000006000000}" name="Stato" dataDxfId="53">
      <calculatedColumnFormula>IF(D4&gt;=C4,"Pagata",IF(D4&gt;0,"Parziale","Da pagare"))</calculatedColumnFormula>
    </tableColumn>
    <tableColumn id="7" xr3:uid="{00000000-0010-0000-0000-000007000000}" name="Data pagamento" dataDxfId="52"/>
    <tableColumn id="8" xr3:uid="{00000000-0010-0000-0000-000008000000}" name="Metodo" dataDxfId="51"/>
    <tableColumn id="9" xr3:uid="{00000000-0010-0000-0000-000009000000}" name="Note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49">
  <tableColumns count="9">
    <tableColumn id="1" xr3:uid="{00000000-0010-0000-0100-000001000000}" name="Data" dataDxfId="48"/>
    <tableColumn id="2" xr3:uid="{00000000-0010-0000-0100-000002000000}" name="Fornitore" dataDxfId="47"/>
    <tableColumn id="3" xr3:uid="{00000000-0010-0000-0100-000003000000}" name="Lotto / Descrizione" dataDxfId="46"/>
    <tableColumn id="4" xr3:uid="{00000000-0010-0000-0100-000004000000}" name="Quantità" dataDxfId="45"/>
    <tableColumn id="5" xr3:uid="{00000000-0010-0000-0100-000005000000}" name="Costo unitario" dataDxfId="44"/>
    <tableColumn id="6" xr3:uid="{00000000-0010-0000-0100-000006000000}" name="Costo totale" dataDxfId="43"/>
    <tableColumn id="7" xr3:uid="{00000000-0010-0000-0100-000007000000}" name="Pagato da" dataDxfId="42"/>
    <tableColumn id="8" xr3:uid="{00000000-0010-0000-0100-000008000000}" name="Stato pagamento" dataDxfId="41"/>
    <tableColumn id="9" xr3:uid="{00000000-0010-0000-0100-000009000000}" name="Not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39">
  <tableColumns count="11">
    <tableColumn id="1" xr3:uid="{00000000-0010-0000-0200-000001000000}" name="Data" dataDxfId="38"/>
    <tableColumn id="2" xr3:uid="{00000000-0010-0000-0200-000002000000}" name="Acquirente" dataDxfId="37"/>
    <tableColumn id="3" xr3:uid="{00000000-0010-0000-0200-000003000000}" name="Descrizione" dataDxfId="36"/>
    <tableColumn id="4" xr3:uid="{00000000-0010-0000-0200-000004000000}" name="Quantità" dataDxfId="35"/>
    <tableColumn id="5" xr3:uid="{00000000-0010-0000-0200-000005000000}" name="Prezzo unitario" dataDxfId="34"/>
    <tableColumn id="6" xr3:uid="{00000000-0010-0000-0200-000006000000}" name="Ricavo" dataDxfId="33">
      <calculatedColumnFormula>IF(OR(D4="",E4=""),"",D4*E4)</calculatedColumnFormula>
    </tableColumn>
    <tableColumn id="7" xr3:uid="{00000000-0010-0000-0200-000007000000}" name="Costo stimato" dataDxfId="32">
      <calculatedColumnFormula>IF(D4="","",D4*Parametri!$B$6)</calculatedColumnFormula>
    </tableColumn>
    <tableColumn id="8" xr3:uid="{00000000-0010-0000-0200-000008000000}" name="Utile lordo" dataDxfId="31">
      <calculatedColumnFormula>IF(F4="","",F4-G4)</calculatedColumnFormula>
    </tableColumn>
    <tableColumn id="9" xr3:uid="{00000000-0010-0000-0200-000009000000}" name="Incassato?" dataDxfId="30"/>
    <tableColumn id="10" xr3:uid="{00000000-0010-0000-0200-00000A000000}" name="Metodo" dataDxfId="29"/>
    <tableColumn id="11" xr3:uid="{00000000-0010-0000-0200-00000B000000}" name="Note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8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45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26.75" customHeight="1">
      <c r="A2" s="46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</row>
    <row r="3" spans="1:12" ht="42.75" customHeight="1"/>
    <row r="4" spans="1:12" ht="26.75" customHeight="1">
      <c r="A4" s="42" t="s">
        <v>2</v>
      </c>
      <c r="B4" s="41"/>
      <c r="C4" s="41"/>
      <c r="D4" s="42" t="s">
        <v>3</v>
      </c>
      <c r="E4" s="41"/>
      <c r="F4" s="41"/>
      <c r="G4" s="42" t="s">
        <v>4</v>
      </c>
      <c r="H4" s="41"/>
      <c r="I4" s="41"/>
      <c r="J4" s="42" t="s">
        <v>5</v>
      </c>
      <c r="K4" s="41"/>
      <c r="L4" s="41"/>
    </row>
    <row r="5" spans="1:12" ht="34" customHeight="1">
      <c r="A5" s="43">
        <f>Magazzino_Cassa!B16</f>
        <v>-30</v>
      </c>
      <c r="B5" s="41"/>
      <c r="C5" s="41"/>
      <c r="D5" s="43">
        <f>Magazzino_Cassa!B6</f>
        <v>375</v>
      </c>
      <c r="E5" s="41"/>
      <c r="F5" s="41"/>
      <c r="G5" s="47">
        <f>Magazzino_Cassa!B14</f>
        <v>156</v>
      </c>
      <c r="H5" s="41"/>
      <c r="I5" s="41"/>
      <c r="J5" s="43">
        <f>Magazzino_Cassa!B12</f>
        <v>215</v>
      </c>
      <c r="K5" s="41"/>
      <c r="L5" s="41"/>
    </row>
    <row r="6" spans="1:12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12" ht="26.75" customHeight="1">
      <c r="A8" s="42" t="s">
        <v>6</v>
      </c>
      <c r="B8" s="41"/>
      <c r="C8" s="41"/>
      <c r="D8" s="42" t="s">
        <v>7</v>
      </c>
      <c r="E8" s="41"/>
      <c r="F8" s="41"/>
      <c r="G8" s="42" t="s">
        <v>8</v>
      </c>
      <c r="H8" s="41"/>
      <c r="I8" s="41"/>
      <c r="J8" s="42" t="s">
        <v>9</v>
      </c>
      <c r="K8" s="41"/>
      <c r="L8" s="41"/>
    </row>
    <row r="9" spans="1:12" ht="34" customHeight="1">
      <c r="A9" s="43">
        <f>Magazzino_Cassa!B15</f>
        <v>80</v>
      </c>
      <c r="B9" s="41"/>
      <c r="C9" s="41"/>
      <c r="D9" s="43">
        <f>Magazzino_Cassa!B13</f>
        <v>171.80000000000007</v>
      </c>
      <c r="E9" s="41"/>
      <c r="F9" s="41"/>
      <c r="G9" s="44" t="str">
        <f>Magazzino_Cassa!B8&amp;"/"&amp;Parametri!B4</f>
        <v>15/15</v>
      </c>
      <c r="H9" s="41"/>
      <c r="I9" s="41"/>
      <c r="J9" s="43">
        <f>Parametri!B9</f>
        <v>12.3</v>
      </c>
      <c r="K9" s="41"/>
      <c r="L9" s="41"/>
    </row>
    <row r="10" spans="1:12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</row>
    <row r="13" spans="1:12" ht="26.75" customHeight="1">
      <c r="A13" s="40" t="s">
        <v>10</v>
      </c>
      <c r="B13" s="41"/>
      <c r="C13" s="41"/>
      <c r="D13" s="41"/>
      <c r="E13" s="41"/>
      <c r="F13" s="41"/>
      <c r="G13" s="40" t="s">
        <v>11</v>
      </c>
      <c r="H13" s="41"/>
      <c r="I13" s="41"/>
      <c r="J13" s="41"/>
      <c r="K13" s="41"/>
      <c r="L13" s="41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215</v>
      </c>
      <c r="C16" s="3" t="s">
        <v>18</v>
      </c>
      <c r="D16" s="3" t="s">
        <v>23</v>
      </c>
      <c r="G16" s="3" t="s">
        <v>24</v>
      </c>
      <c r="H16" s="5">
        <f>Magazzino_Cassa!B11</f>
        <v>44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156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-30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95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120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40" t="s">
        <v>46</v>
      </c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45" t="s">
        <v>53</v>
      </c>
      <c r="B1" s="41"/>
      <c r="C1" s="41"/>
      <c r="D1" s="41"/>
      <c r="E1" s="41"/>
      <c r="F1" s="41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45" t="s">
        <v>71</v>
      </c>
      <c r="B1" s="41"/>
      <c r="C1" s="41"/>
      <c r="D1" s="41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45" t="s">
        <v>91</v>
      </c>
      <c r="B1" s="41"/>
      <c r="C1" s="41"/>
      <c r="D1" s="41"/>
      <c r="E1" s="41"/>
      <c r="F1" s="41"/>
      <c r="G1" s="41"/>
      <c r="H1" s="41"/>
      <c r="I1" s="41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45" t="s">
        <v>124</v>
      </c>
      <c r="B1" s="41"/>
      <c r="C1" s="41"/>
      <c r="D1" s="41"/>
      <c r="E1" s="41"/>
      <c r="F1" s="41"/>
      <c r="G1" s="41"/>
      <c r="H1" s="41"/>
      <c r="I1" s="41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abSelected="1" topLeftCell="A9" zoomScale="150" workbookViewId="0">
      <selection activeCell="B29" sqref="B29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45" t="s">
        <v>138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1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1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1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1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1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1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1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1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1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1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1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1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1">
      <c r="A29" s="14" t="s">
        <v>226</v>
      </c>
      <c r="B29" s="3" t="s">
        <v>106</v>
      </c>
      <c r="C29" s="3" t="s">
        <v>146</v>
      </c>
      <c r="D29" s="5">
        <v>1</v>
      </c>
      <c r="E29" s="13">
        <v>12</v>
      </c>
      <c r="F29" s="4">
        <f t="shared" si="1"/>
        <v>12</v>
      </c>
      <c r="G29" s="4">
        <f>IF(D29="","",D29*Parametri!$B$6)</f>
        <v>2.7</v>
      </c>
      <c r="H29" s="4">
        <f t="shared" si="0"/>
        <v>9.3000000000000007</v>
      </c>
      <c r="I29" s="3" t="s">
        <v>147</v>
      </c>
      <c r="J29" s="3" t="s">
        <v>105</v>
      </c>
      <c r="K29" s="3"/>
    </row>
    <row r="30" spans="1:11">
      <c r="A30" s="14"/>
      <c r="B30" s="3"/>
      <c r="C30" s="3" t="s">
        <v>146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147</v>
      </c>
      <c r="J30" s="3"/>
      <c r="K30" s="3"/>
    </row>
    <row r="31" spans="1:11">
      <c r="A31" s="14"/>
      <c r="B31" s="3"/>
      <c r="C31" s="3" t="s">
        <v>146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147</v>
      </c>
      <c r="J31" s="3"/>
      <c r="K31" s="3"/>
    </row>
    <row r="32" spans="1:11">
      <c r="A32" s="14"/>
      <c r="B32" s="3"/>
      <c r="C32" s="3" t="s">
        <v>146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147</v>
      </c>
      <c r="J32" s="3"/>
      <c r="K32" s="3"/>
    </row>
    <row r="33" spans="1:11">
      <c r="A33" s="14"/>
      <c r="B33" s="3"/>
      <c r="C33" s="3" t="s">
        <v>146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147</v>
      </c>
      <c r="J33" s="3"/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45" t="s">
        <v>164</v>
      </c>
      <c r="B1" s="41"/>
      <c r="C1" s="41"/>
      <c r="D1" s="41"/>
      <c r="E1" s="41"/>
      <c r="F1" s="41"/>
      <c r="G1" s="41"/>
      <c r="H1" s="41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45" t="s">
        <v>170</v>
      </c>
      <c r="B1" s="41"/>
      <c r="C1" s="41"/>
      <c r="D1" s="41"/>
      <c r="E1" s="41"/>
      <c r="F1" s="41"/>
    </row>
    <row r="3" spans="1:11" ht="42.75" customHeight="1">
      <c r="A3" s="40" t="s">
        <v>171</v>
      </c>
      <c r="B3" s="41"/>
      <c r="C3" s="41"/>
      <c r="D3" s="41"/>
      <c r="E3" s="41"/>
      <c r="F3" s="41"/>
      <c r="H3" s="40" t="s">
        <v>172</v>
      </c>
      <c r="I3" s="41"/>
      <c r="J3" s="41"/>
      <c r="K3" s="41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44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215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171.80000000000007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156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-30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95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120</v>
      </c>
      <c r="C18" s="3" t="s">
        <v>36</v>
      </c>
    </row>
    <row r="19" spans="1:6" ht="39" customHeight="1">
      <c r="A19" s="40" t="s">
        <v>186</v>
      </c>
      <c r="B19" s="41"/>
      <c r="C19" s="41"/>
      <c r="D19" s="41"/>
      <c r="E19" s="41"/>
      <c r="F19" s="41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45" t="s">
        <v>193</v>
      </c>
      <c r="B1" s="41"/>
      <c r="C1" s="41"/>
      <c r="D1" s="41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C6" sqref="C6"/>
    </sheetView>
  </sheetViews>
  <sheetFormatPr baseColWidth="10" defaultColWidth="8.83203125" defaultRowHeight="14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8" t="s">
        <v>207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ht="34" customHeight="1">
      <c r="A2" s="49" t="s">
        <v>208</v>
      </c>
      <c r="B2" s="49"/>
      <c r="C2" s="49"/>
      <c r="D2" s="49"/>
      <c r="E2" s="49"/>
      <c r="F2" s="49"/>
      <c r="G2" s="49"/>
      <c r="H2" s="49"/>
      <c r="I2" s="49"/>
      <c r="J2" s="49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0</v>
      </c>
      <c r="E4" s="24"/>
      <c r="F4" s="24">
        <f t="shared" ref="F4:F35" si="0">IF(B4="","",MAX(C4-D4-E4,0))</f>
        <v>10</v>
      </c>
      <c r="G4" s="27">
        <f>IF(B4="","",SUMIFS(Vendite_Patch!$F$4:$F$303,Vendite_Patch!$L$4:$L$303,B4,Vendite_Patch!$I$4:$I$303,"Sì"))</f>
        <v>0</v>
      </c>
      <c r="H4" s="27"/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4"/>
  <cols>
    <col min="1" max="1" width="16" customWidth="1"/>
    <col min="2" max="2" width="27" customWidth="1"/>
    <col min="3" max="3" width="40" customWidth="1"/>
  </cols>
  <sheetData>
    <row r="1" spans="1:3" ht="27" customHeight="1">
      <c r="A1" s="38" t="s">
        <v>218</v>
      </c>
      <c r="B1" s="38"/>
      <c r="C1" s="38"/>
    </row>
    <row r="2" spans="1:3" ht="38" customHeight="1">
      <c r="A2" s="39" t="s">
        <v>219</v>
      </c>
      <c r="B2" s="39"/>
      <c r="C2" s="3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2026-07-17T17:45:18Z</dcterms:modified>
</cp:coreProperties>
</file>