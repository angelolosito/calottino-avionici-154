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857397db2b41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d6326f5f2c34ca5"/>
    <x:sheet xmlns:r="http://schemas.openxmlformats.org/officeDocument/2006/relationships" name="Istruzioni" sheetId="2" r:id="R4530ee0cbbf24d38"/>
    <x:sheet xmlns:r="http://schemas.openxmlformats.org/officeDocument/2006/relationships" name="Parametri" sheetId="3" r:id="R3b945633529a4b05"/>
    <x:sheet xmlns:r="http://schemas.openxmlformats.org/officeDocument/2006/relationships" name="Persone_Quote" sheetId="4" r:id="R125d03550e6d4ccc"/>
    <x:sheet xmlns:r="http://schemas.openxmlformats.org/officeDocument/2006/relationships" name="Acquisti_Patch" sheetId="5" r:id="R4550e452985c4ae8"/>
    <x:sheet xmlns:r="http://schemas.openxmlformats.org/officeDocument/2006/relationships" name="Vendite_Patch" sheetId="6" r:id="R534ab63ffae54b76"/>
    <x:sheet xmlns:r="http://schemas.openxmlformats.org/officeDocument/2006/relationships" name="Spese_Categoria" sheetId="7" r:id="Rbae4cfaf1ffc4b75"/>
    <x:sheet xmlns:r="http://schemas.openxmlformats.org/officeDocument/2006/relationships" name="Magazzino_Cassa" sheetId="8" r:id="Ra7d8da550e41432c"/>
    <x:sheet xmlns:r="http://schemas.openxmlformats.org/officeDocument/2006/relationships" name="Liste" sheetId="9" r:id="R920da7b190a4415a"/>
    <x:sheet xmlns:r="http://schemas.openxmlformats.org/officeDocument/2006/relationships" name="Affidamenti_Patch" sheetId="10" r:id="R862f6891bd0b4e69"/>
  </x:sheets>
</x:workbook>
</file>

<file path=xl/sharedStrings.xml><?xml version="1.0" encoding="utf-8"?>
<x:sst xmlns:x="http://schemas.openxmlformats.org/spreadsheetml/2006/main">
  <x:si>
    <x:t xml:space="preserve">Dashboard calottino di categoria</x:t>
  </x:si>
  <x:si>
    <x:t xml:space="preserve">Gestione quote, patch, magazzino, ricavi, cassa e spese di categoria</x:t>
  </x:si>
  <x:si>
    <x:t xml:space="preserve">Cassa disponibile</x:t>
  </x:si>
  <x:si>
    <x:t xml:space="preserve">Quote incassate</x:t>
  </x:si>
  <x:si>
    <x:t xml:space="preserve">Patch disponibili</x:t>
  </x:si>
  <x:si>
    <x:t xml:space="preserve">Ricavi patch incassati totali</x:t>
  </x:si>
  <x:si>
    <x:t xml:space="preserve">Spese categoria</x:t>
  </x:si>
  <x:si>
    <x:t xml:space="preserve">Utile lordo patch</x:t>
  </x:si>
  <x:si>
    <x:t xml:space="preserve">Persone in regola</x:t>
  </x:si>
  <x:si>
    <x:t xml:space="preserve">Margine unitario esterni</x:t>
  </x:si>
  <x:si>
    <x:t xml:space="preserve">Flussi principali</x:t>
  </x:si>
  <x:si>
    <x:t xml:space="preserve">Magazzino patch</x:t>
  </x:si>
  <x:si>
    <x:t xml:space="preserve">Voce</x:t>
  </x:si>
  <x:si>
    <x:t xml:space="preserve">Importo</x:t>
  </x:si>
  <x:si>
    <x:t xml:space="preserve">Segno</x:t>
  </x:si>
  <x:si>
    <x:t xml:space="preserve">Note</x:t>
  </x:si>
  <x:si>
    <x:t xml:space="preserve">Valore</x:t>
  </x:si>
  <x:si>
    <x:t xml:space="preserve">Unità</x:t>
  </x:si>
  <x:si>
    <x:t xml:space="preserve">Entrata</x:t>
  </x:si>
  <x:si>
    <x:t xml:space="preserve">Quote iniziali pagate dai 15 componenti</x:t>
  </x:si>
  <x:si>
    <x:t xml:space="preserve">Patch acquistate</x:t>
  </x:si>
  <x:si>
    <x:t xml:space="preserve">pezzi</x:t>
  </x:si>
  <x:si>
    <x:t xml:space="preserve">Totale inserito in Acquisti_Patch</x:t>
  </x:si>
  <x:si>
    <x:t xml:space="preserve">Vendite incassate totali: esterni + interni</x:t>
  </x:si>
  <x:si>
    <x:t xml:space="preserve">Patch vendute</x:t>
  </x:si>
  <x:si>
    <x:t xml:space="preserve">Totale inserito in Vendite_Patch</x:t>
  </x:si>
  <x:si>
    <x:t xml:space="preserve">Costo acquisti patch</x:t>
  </x:si>
  <x:si>
    <x:t xml:space="preserve">Uscita</x:t>
  </x:si>
  <x:si>
    <x:t xml:space="preserve">Acquisti patch registrati come pagati/parziali</x:t>
  </x:si>
  <x:si>
    <x:t xml:space="preserve">Acquistate - vendute</x:t>
  </x:si>
  <x:si>
    <x:t xml:space="preserve">Spese approvate per ufficio, pranzi, eventi</x:t>
  </x:si>
  <x:si>
    <x:t xml:space="preserve">Break-even acquisti a prezzo esterni</x:t>
  </x:si>
  <x:si>
    <x:t xml:space="preserve">Patch da vendere a prezzo esterni per coprire il costo acquisti</x:t>
  </x:si>
  <x:si>
    <x:t xml:space="preserve">Cassa disponibile stimata</x:t>
  </x:si>
  <x:si>
    <x:t xml:space="preserve">Saldo</x:t>
  </x:si>
  <x:si>
    <x:t xml:space="preserve">Entrate - uscite</x:t>
  </x:si>
  <x:si>
    <x:t xml:space="preserve">€</x:t>
  </x:si>
  <x:si>
    <x:t xml:space="preserve">Prezzo esterni - costo unitario</x:t>
  </x:si>
  <x:si>
    <x:t xml:space="preserve">Ricavi patch esterni incassati</x:t>
  </x:si>
  <x:si>
    <x:t xml:space="preserve">Vendite incassate a prezzo esterni (€15)</x:t>
  </x:si>
  <x:si>
    <x:t xml:space="preserve">Break-even acquisti a prezzo interni</x:t>
  </x:si>
  <x:si>
    <x:t xml:space="preserve">Patch da vendere a prezzo interni per coprire il costo acquisti</x:t>
  </x:si>
  <x:si>
    <x:t xml:space="preserve">Ricavi patch interni incassati</x:t>
  </x:si>
  <x:si>
    <x:t xml:space="preserve">Vendite incassate a prezzo interni (€12)</x:t>
  </x:si>
  <x:si>
    <x:t xml:space="preserve">Margine unitario interni</x:t>
  </x:si>
  <x:si>
    <x:t xml:space="preserve">Prezzo interni - costo unitario</x:t>
  </x:si>
  <x:si>
    <x:t xml:space="preserve">Struttura consigliata per futuro sito web</x:t>
  </x:si>
  <x:si>
    <x:t xml:space="preserve">Approccio semplice</x:t>
  </x:si>
  <x:si>
    <x:t xml:space="preserve">Google Sheets o Excel Online come archivio dati, sito in sola lettura con dashboard.</x:t>
  </x:si>
  <x:si>
    <x:t xml:space="preserve">Approccio più robusto</x:t>
  </x:si>
  <x:si>
    <x:t xml:space="preserve">Excel su OneDrive/SharePoint + Microsoft Graph API, oppure migrazione dati in Airtable/Supabase.</x:t>
  </x:si>
  <x:si>
    <x:t xml:space="preserve">Regola pratica</x:t>
  </x:si>
  <x:si>
    <x:t xml:space="preserve">Il file deve restare tabellare: non cambiare i nomi dei fogli e delle intestazioni se poi il sito li legge automaticamente.</x:t>
  </x:si>
  <x:si>
    <x:t xml:space="preserve">Come usare il file</x:t>
  </x:si>
  <x:si>
    <x:t xml:space="preserve">Passo</x:t>
  </x:si>
  <x:si>
    <x:t xml:space="preserve">Area</x:t>
  </x:si>
  <x:si>
    <x:t xml:space="preserve">Cosa fare</x:t>
  </x:si>
  <x:si>
    <x:t xml:space="preserve">1</x:t>
  </x:si>
  <x:si>
    <x:t xml:space="preserve">Inserisci i nomi</x:t>
  </x:si>
  <x:si>
    <x:t xml:space="preserve">Vai su Persone_Quote e sostituisci Membro 1, Membro 2, ecc. con i nomi reali.</x:t>
  </x:si>
  <x:si>
    <x:t xml:space="preserve">2</x:t>
  </x:si>
  <x:si>
    <x:t xml:space="preserve">Registra le quote</x:t>
  </x:si>
  <x:si>
    <x:t xml:space="preserve">Compila Quota pagata, Data pagamento e Metodo. Lo stato si aggiorna da solo.</x:t>
  </x:si>
  <x:si>
    <x:t xml:space="preserve">3</x:t>
  </x:si>
  <x:si>
    <x:t xml:space="preserve">Registra gli acquisti patch</x:t>
  </x:si>
  <x:si>
    <x:t xml:space="preserve">Ogni ordine/lotto va inserito in Acquisti_Patch. Il costo totale si calcola automaticamente.</x:t>
  </x:si>
  <x:si>
    <x:t xml:space="preserve">4</x:t>
  </x:si>
  <x:si>
    <x:t xml:space="preserve">Registra le vendite</x:t>
  </x:si>
  <x:si>
    <x:t xml:space="preserve">Ogni vendita va inserita in Vendite_Patch scegliendo il prezzo unitario: 15 € esterni o 12 € interni. Ricavi, costo stimato e utile lordo sono automatici.</x:t>
  </x:si>
  <x:si>
    <x:t xml:space="preserve">Registra le spese</x:t>
  </x:si>
  <x:si>
    <x:t xml:space="preserve">Usa Spese_Categoria per internet/WiFi, pranzi, materiale ufficio, regali o altri costi.</x:t>
  </x:si>
  <x:si>
    <x:t xml:space="preserve">Parametri principali del calottino</x:t>
  </x:si>
  <x:si>
    <x:t xml:space="preserve">Numero componenti</x:t>
  </x:si>
  <x:si>
    <x:t xml:space="preserve">persone</x:t>
  </x:si>
  <x:si>
    <x:t xml:space="preserve">Totale membri del gruppo/categoria</x:t>
  </x:si>
  <x:si>
    <x:t xml:space="preserve">Quota iniziale</x:t>
  </x:si>
  <x:si>
    <x:t xml:space="preserve">Quota una tantum versata da ciascun componente</x:t>
  </x:si>
  <x:si>
    <x:t xml:space="preserve">Costo unitario patch</x:t>
  </x:si>
  <x:si>
    <x:t xml:space="preserve">Prezzo pagato al fornitore per ogni patch</x:t>
  </x:si>
  <x:si>
    <x:t xml:space="preserve">Prezzo rivendita patch Esterni</x:t>
  </x:si>
  <x:si>
    <x:t xml:space="preserve">Prezzo vendita per acquirenti esterni</x:t>
  </x:si>
  <x:si>
    <x:t xml:space="preserve">Prezzo rivendita patch Interni</x:t>
  </x:si>
  <x:si>
    <x:t xml:space="preserve">Prezzo vendita per acquirenti interni</x:t>
  </x:si>
  <x:si>
    <x:t xml:space="preserve">Margine unitario patch Esterni</x:t>
  </x:si>
  <x:si>
    <x:t xml:space="preserve">Calcolato automaticamente: prezzo esterni - costo acquisto</x:t>
  </x:si>
  <x:si>
    <x:t xml:space="preserve">Obiettivo fondo minimo</x:t>
  </x:si>
  <x:si>
    <x:t xml:space="preserve">Facoltativo: imposta un obiettivo di cassa</x:t>
  </x:si>
  <x:si>
    <x:t xml:space="preserve">Costo internet/WiFi mensile stimato</x:t>
  </x:si>
  <x:si>
    <x:t xml:space="preserve">Facoltativo: utile per stimare i mesi coperti</x:t>
  </x:si>
  <x:si>
    <x:t xml:space="preserve">Margine unitario patch Interni</x:t>
  </x:si>
  <x:si>
    <x:t xml:space="preserve">Calcolato automaticamente: prezzo interni - costo acquisto</x:t>
  </x:si>
  <x:si>
    <x:t xml:space="preserve">Quote iniziali dei componenti</x:t>
  </x:si>
  <x:si>
    <x:t xml:space="preserve">ID</x:t>
  </x:si>
  <x:si>
    <x:t xml:space="preserve">Nome / Cognome</x:t>
  </x:si>
  <x:si>
    <x:t xml:space="preserve">Quota dovuta</x:t>
  </x:si>
  <x:si>
    <x:t xml:space="preserve">Quota pagata</x:t>
  </x:si>
  <x:si>
    <x:t xml:space="preserve">Stato</x:t>
  </x:si>
  <x:si>
    <x:t xml:space="preserve">Data pagamento</x:t>
  </x:si>
  <x:si>
    <x:t xml:space="preserve">Metodo</x:t>
  </x:si>
  <x:si>
    <x:t xml:space="preserve">Anticipo da rimborsare</x:t>
  </x:si>
  <x:si>
    <x:t xml:space="preserve">Capodanno</x:t>
  </x:si>
  <x:si>
    <x:t xml:space="preserve">16/06/2026</x:t>
  </x:si>
  <x:si>
    <x:t xml:space="preserve">Contanti</x:t>
  </x:si>
  <x:si>
    <x:t xml:space="preserve">Quota effettiva 25 euro; extra 245 euro registrato come anticipo da rimborsare.</x:t>
  </x:si>
  <x:si>
    <x:t xml:space="preserve">Caggia</x:t>
  </x:si>
  <x:si>
    <x:t xml:space="preserve">PayPal</x:t>
  </x:si>
  <x:si>
    <x:t xml:space="preserve">Marchesani</x:t>
  </x:si>
  <x:si>
    <x:t xml:space="preserve">19/06/2026</x:t>
  </x:si>
  <x:si>
    <x:t xml:space="preserve">Zubenko</x:t>
  </x:si>
  <x:si>
    <x:t xml:space="preserve">Losito</x:t>
  </x:si>
  <x:si>
    <x:t xml:space="preserve">Di Stefano</x:t>
  </x:si>
  <x:si>
    <x:t xml:space="preserve">30/06/2026</x:t>
  </x:si>
  <x:si>
    <x:t xml:space="preserve">Palladino</x:t>
  </x:si>
  <x:si>
    <x:t xml:space="preserve">Locorotondo</x:t>
  </x:si>
  <x:si>
    <x:t xml:space="preserve">26/06/2026</x:t>
  </x:si>
  <x:si>
    <x:t xml:space="preserve">Pertosa</x:t>
  </x:si>
  <x:si>
    <x:t xml:space="preserve">Ottaiano</x:t>
  </x:si>
  <x:si>
    <x:t xml:space="preserve">Fragnito</x:t>
  </x:si>
  <x:si>
    <x:t xml:space="preserve">Murolo</x:t>
  </x:si>
  <x:si>
    <x:t xml:space="preserve">Palma</x:t>
  </x:si>
  <x:si>
    <x:t xml:space="preserve">17/06/2026</x:t>
  </x:si>
  <x:si>
    <x:t xml:space="preserve">Babele</x:t>
  </x:si>
  <x:si>
    <x:t xml:space="preserve">23/06/2026</x:t>
  </x:si>
  <x:si>
    <x:t xml:space="preserve">Torrente</x:t>
  </x:si>
  <x:si>
    <x:t xml:space="preserve">Acquisti patch / lotti ordinati</x:t>
  </x:si>
  <x:si>
    <x:t xml:space="preserve">Data</x:t>
  </x:si>
  <x:si>
    <x:t xml:space="preserve">Fornitore</x:t>
  </x:si>
  <x:si>
    <x:t xml:space="preserve">Lotto / Descrizione</x:t>
  </x:si>
  <x:si>
    <x:t xml:space="preserve">Quantità</x:t>
  </x:si>
  <x:si>
    <x:t xml:space="preserve">Costo unitario</x:t>
  </x:si>
  <x:si>
    <x:t xml:space="preserve">Costo totale</x:t>
  </x:si>
  <x:si>
    <x:t xml:space="preserve">Pagato da</x:t>
  </x:si>
  <x:si>
    <x:t xml:space="preserve">Stato pagamento</x:t>
  </x:si>
  <x:si>
    <x:t xml:space="preserve">Sanarica</x:t>
  </x:si>
  <x:si>
    <x:t xml:space="preserve">Primo Lotto</x:t>
  </x:si>
  <x:si>
    <x:t xml:space="preserve">Pagato</x:t>
  </x:si>
  <x:si>
    <x:t xml:space="preserve">Soldi da restituire a Mimmo</x:t>
  </x:si>
  <x:si>
    <x:t xml:space="preserve">Da pagare</x:t>
  </x:si>
  <x:si>
    <x:t xml:space="preserve">Vendite patch / ricavi</x:t>
  </x:si>
  <x:si>
    <x:t xml:space="preserve">Acquirente</x:t>
  </x:si>
  <x:si>
    <x:t xml:space="preserve">Descrizione</x:t>
  </x:si>
  <x:si>
    <x:t xml:space="preserve">Prezzo unitario</x:t>
  </x:si>
  <x:si>
    <x:t xml:space="preserve">Ricavo</x:t>
  </x:si>
  <x:si>
    <x:t xml:space="preserve">Costo stimato</x:t>
  </x:si>
  <x:si>
    <x:t xml:space="preserve">Utile lordo</x:t>
  </x:si>
  <x:si>
    <x:t xml:space="preserve">Incassato?</x:t>
  </x:si>
  <x:si>
    <x:t xml:space="preserve">Patch categoria</x:t>
  </x:si>
  <x:si>
    <x:t xml:space="preserve">Sì</x:t>
  </x:si>
  <x:si>
    <x:t xml:space="preserve">Muto</x:t>
  </x:si>
  <x:si>
    <x:t xml:space="preserve">D'Orsi</x:t>
  </x:si>
  <x:si>
    <x:t xml:space="preserve">Revolut Angelo</x:t>
  </x:si>
  <x:si>
    <x:t xml:space="preserve">Dati a Mimmo</x:t>
  </x:si>
  <x:si>
    <x:t xml:space="preserve">Marra</x:t>
  </x:si>
  <x:si>
    <x:t xml:space="preserve">18/06/2026</x:t>
  </x:si>
  <x:si>
    <x:t xml:space="preserve">Ragnoli</x:t>
  </x:si>
  <x:si>
    <x:t xml:space="preserve">22/06/2026</x:t>
  </x:si>
  <x:si>
    <x:t xml:space="preserve">Lombardo</x:t>
  </x:si>
  <x:si>
    <x:t xml:space="preserve">De Rosa</x:t>
  </x:si>
  <x:si>
    <x:t xml:space="preserve">Rivellino</x:t>
  </x:si>
  <x:si>
    <x:t xml:space="preserve">Jimmy</x:t>
  </x:si>
  <x:si>
    <x:t xml:space="preserve">Caprara</x:t>
  </x:si>
  <x:si>
    <x:t xml:space="preserve">03/07/2026</x:t>
  </x:si>
  <x:si>
    <x:t xml:space="preserve">Radunista</x:t>
  </x:si>
  <x:si>
    <x:t xml:space="preserve">06/07/2026</x:t>
  </x:si>
  <x:si>
    <x:t xml:space="preserve">Spese di categoria</x:t>
  </x:si>
  <x:si>
    <x:t xml:space="preserve">Categoria</x:t>
  </x:si>
  <x:si>
    <x:t xml:space="preserve">Approvata?</x:t>
  </x:si>
  <x:si>
    <x:t xml:space="preserve">Patch/acquisti</x:t>
  </x:si>
  <x:si>
    <x:t xml:space="preserve">Stampo Patch di Categoria</x:t>
  </x:si>
  <x:si>
    <x:t xml:space="preserve">Bonifico</x:t>
  </x:si>
  <x:si>
    <x:t xml:space="preserve">Magazzino patch e cassa</x:t>
  </x:si>
  <x:si>
    <x:t xml:space="preserve">Riepilogo automatico</x:t>
  </x:si>
  <x:si>
    <x:t xml:space="preserve">Spese per categoria</x:t>
  </x:si>
  <x:si>
    <x:t xml:space="preserve">Componenti previsti</x:t>
  </x:si>
  <x:si>
    <x:t xml:space="preserve">Totale</x:t>
  </x:si>
  <x:si>
    <x:t xml:space="preserve">% su spese</x:t>
  </x:si>
  <x:si>
    <x:t xml:space="preserve">Quote dovute</x:t>
  </x:si>
  <x:si>
    <x:t xml:space="preserve">Internet/WiFi</x:t>
  </x:si>
  <x:si>
    <x:t xml:space="preserve">Pranzo di categoria</x:t>
  </x:si>
  <x:si>
    <x:t xml:space="preserve">Quote ancora da incassare</x:t>
  </x:si>
  <x:si>
    <x:t xml:space="preserve">Materiale ufficio</x:t>
  </x:si>
  <x:si>
    <x:t xml:space="preserve">Regali/Lieti eventi</x:t>
  </x:si>
  <x:si>
    <x:t xml:space="preserve">Altro</x:t>
  </x:si>
  <x:si>
    <x:t xml:space="preserve">Utile lordo patch incassato totale</x:t>
  </x:si>
  <x:si>
    <x:t xml:space="preserve">Patch disponibili in magazzino</x:t>
  </x:si>
  <x:si>
    <x:t xml:space="preserve">Spese categoria approvate</x:t>
  </x:si>
  <x:si>
    <x:t xml:space="preserve">Controlli utili</x:t>
  </x:si>
  <x:si>
    <x:t xml:space="preserve">Attenzione: stock negativo</x:t>
  </x:si>
  <x:si>
    <x:t xml:space="preserve">Break-even patch a prezzo esterni</x:t>
  </x:si>
  <x:si>
    <x:t xml:space="preserve">pezzi da vendere a prezzo esterni per coprire costo acquisti</x:t>
  </x:si>
  <x:si>
    <x:t xml:space="preserve">Mesi internet/WiFi coperti</x:t>
  </x:si>
  <x:si>
    <x:t xml:space="preserve">Break-even patch a prezzo interni</x:t>
  </x:si>
  <x:si>
    <x:t xml:space="preserve">pezzi da vendere a prezzo interni per coprire costo acquisti</x:t>
  </x:si>
  <x:si>
    <x:t xml:space="preserve">Liste per menu a tendina</x:t>
  </x:si>
  <x:si>
    <x:t xml:space="preserve">Metodi pagamento</x:t>
  </x:si>
  <x:si>
    <x:t xml:space="preserve">Sì/No</x:t>
  </x:si>
  <x:si>
    <x:t xml:space="preserve">Categorie spesa</x:t>
  </x:si>
  <x:si>
    <x:t xml:space="preserve">Prezzi patch</x:t>
  </x:si>
  <x:si>
    <x:t xml:space="preserve">Parziale</x:t>
  </x:si>
  <x:si>
    <x:t xml:space="preserve">No</x:t>
  </x:si>
  <x:si>
    <x:t xml:space="preserve">Satispay</x:t>
  </x:si>
</x:sst>
</file>

<file path=xl/styles.xml><?xml version="1.0" encoding="utf-8"?>
<x:styleSheet xmlns:x="http://schemas.openxmlformats.org/spreadsheetml/2006/main">
  <x:numFmts count="5">
    <x:numFmt numFmtId="164" formatCode="\€\ #,##0.00"/>
    <x:numFmt numFmtId="165" formatCode="dd/mm/yyyy"/>
    <x:numFmt numFmtId="166" formatCode="0.0"/>
    <x:numFmt numFmtId="167" formatCode="0.0%"/>
    <x:numFmt numFmtId="200" formatCode="#,##0"/>
  </x:numFmts>
  <x:fonts count="15">
    <x:font>
      <x:sz val="11"/>
      <x:name val="Carlito"/>
    </x:font>
    <x:font>
      <x:b/>
      <x:sz val="16"/>
      <x:color rgb="FFFFFFFF"/>
      <x:name val="Calibri"/>
    </x:font>
    <x:font>
      <x:sz val="11"/>
      <x:name val="Calibri"/>
    </x:font>
    <x:font>
      <x:i/>
      <x:sz val="11"/>
      <x:color rgb="FF111827"/>
      <x:name val="Calibri"/>
    </x:font>
    <x:font>
      <x:b/>
      <x:sz val="10"/>
      <x:color rgb="FFFFFFFF"/>
      <x:name val="Calibri"/>
    </x:font>
    <x:font>
      <x:b/>
      <x:sz val="16"/>
      <x:color rgb="FF111827"/>
      <x:name val="Calibri"/>
    </x:font>
    <x:font>
      <x:b/>
      <x:sz val="11"/>
      <x:color rgb="FFFFFFFF"/>
      <x:name val="Calibri"/>
    </x:font>
    <x:font>
      <x:sz val="10"/>
      <x:color rgb="FF111827"/>
      <x:name val="Calibri"/>
    </x:font>
    <x:font>
      <x:b/>
      <x:sz val="10"/>
      <x:color rgb="FF111827"/>
      <x:name val="Calibri"/>
    </x:font>
    <x:font>
      <x:b/>
      <x:sz val="11"/>
      <x:name val="Calibri"/>
    </x:font>
    <x:font>
      <x:sz val="10"/>
      <x:color rgb="FF0070C0"/>
      <x:name val="Calibri"/>
    </x:font>
    <x:font>
      <x:b/>
      <x:sz val="16"/>
      <x:color rgb="FFFFFFFF"/>
      <x:name val="Carlito"/>
    </x:font>
    <x:font>
      <x:i/>
      <x:sz val="10"/>
      <x:color rgb="FF111827"/>
      <x:name val="Carlito"/>
    </x:font>
    <x:font>
      <x:b/>
      <x:sz val="10"/>
      <x:color rgb="FFFFFFFF"/>
      <x:name val="Carlito"/>
    </x:font>
    <x:font>
      <x:sz val="10"/>
      <x:color rgb="FF11182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DBEAFE"/>
      </x:patternFill>
    </x:fill>
    <x:fill>
      <x:patternFill patternType="solid">
        <x:fgColor rgb="FFFFFFFF"/>
      </x:patternFill>
    </x:fill>
    <x:fill>
      <x:patternFill patternType="solid">
        <x:fgColor rgb="FFE2E3E5"/>
      </x:patternFill>
    </x:fill>
    <x:fill>
      <x:patternFill patternType="solid">
        <x:fgColor rgb="FF1F4E78"/>
      </x:patternFill>
    </x:fill>
    <x:fill>
      <x:patternFill patternType="solid">
        <x:fgColor rgb="FFDBEAFE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76">
    <x:xf numFmtId="0" fontId="0" fillId="0" borderId="0" xfId="0"/>
    <x:xf numFmtId="0" fontId="2" fillId="0" borderId="0" xfId="0" applyFont="1"/>
    <x:xf numFmtId="0" fontId="6" fillId="3" borderId="0" xfId="0" applyFont="1" applyFill="1" applyAlignment="1">
      <x:alignment horizontal="center" vertical="center" wrapText="1"/>
    </x:xf>
    <x:xf numFmtId="0" fontId="7" fillId="0" borderId="0" xfId="0" applyFont="1" applyAlignment="1">
      <x:alignment vertical="top" wrapText="1"/>
    </x:xf>
    <x:xf numFmtId="164" fontId="7" fillId="0" borderId="0" xfId="0" applyNumberFormat="1" applyFont="1" applyAlignment="1">
      <x:alignment vertical="top" wrapText="1"/>
    </x:xf>
    <x:xf numFmtId="1" fontId="7" fillId="0" borderId="0" xfId="0" applyNumberFormat="1" applyFont="1" applyAlignment="1">
      <x:alignment vertical="top" wrapText="1"/>
    </x:xf>
    <x:xf numFmtId="0" fontId="8" fillId="0" borderId="0" xfId="0" applyFont="1" applyAlignment="1">
      <x:alignment vertical="top" wrapText="1"/>
    </x:xf>
    <x:xf numFmtId="164" fontId="8" fillId="0" borderId="0" xfId="0" applyNumberFormat="1" applyFont="1" applyAlignment="1">
      <x:alignment vertical="top" wrapText="1"/>
    </x:xf>
    <x:xf numFmtId="165" fontId="7" fillId="0" borderId="0" xfId="0" applyNumberFormat="1" applyFont="1" applyAlignment="1">
      <x:alignment vertical="top" wrapText="1"/>
    </x:xf>
    <x:xf numFmtId="167" fontId="7" fillId="0" borderId="0" xfId="0" applyNumberFormat="1" applyFont="1" applyAlignment="1">
      <x:alignment vertical="top" wrapText="1"/>
    </x:xf>
    <x:xf numFmtId="166" fontId="7" fillId="0" borderId="0" xfId="0" applyNumberFormat="1" applyFont="1" applyAlignment="1">
      <x:alignment vertical="top" wrapText="1"/>
    </x:xf>
    <x:xf numFmtId="164" fontId="2" fillId="0" borderId="0" xfId="0" applyNumberFormat="1" applyFont="1"/>
    <x:xf numFmtId="0" fontId="9" fillId="6" borderId="0" xfId="0" applyFont="1" applyFill="1"/>
    <x:xf numFmtId="164" fontId="10" fillId="0" borderId="0" xfId="0" applyNumberFormat="1" applyFont="1" applyAlignment="1">
      <x:alignment vertical="top" wrapText="1"/>
    </x:xf>
    <x:xf numFmtId="0" fontId="1" fillId="2" borderId="0" xfId="0" applyFont="1" applyFill="1" applyAlignment="1">
      <x:alignment horizontal="left" vertical="center"/>
    </x:xf>
    <x:xf numFmtId="0" fontId="2" fillId="0" borderId="0" xfId="0" applyFont="1"/>
    <x:xf numFmtId="0" fontId="3" fillId="4" borderId="0" xfId="0" applyFont="1" applyFill="1" applyAlignment="1">
      <x:alignment horizontal="left"/>
    </x:xf>
    <x:xf numFmtId="0" fontId="4" fillId="2" borderId="0" xfId="0" applyFont="1" applyFill="1" applyAlignment="1">
      <x:alignment horizontal="center" vertical="center" wrapText="1"/>
    </x:xf>
    <x:xf numFmtId="164" fontId="5" fillId="5" borderId="0" xfId="0" applyNumberFormat="1" applyFont="1" applyFill="1" applyAlignment="1">
      <x:alignment horizontal="center" vertical="center"/>
    </x:xf>
    <x:xf numFmtId="1" fontId="5" fillId="5" borderId="0" xfId="0" applyNumberFormat="1" applyFont="1" applyFill="1" applyAlignment="1">
      <x:alignment horizontal="center" vertical="center"/>
    </x:xf>
    <x:xf numFmtId="0" fontId="6" fillId="3" borderId="0" xfId="0" applyFont="1" applyFill="1" applyAlignment="1">
      <x:alignment horizontal="left" vertical="center"/>
    </x:xf>
    <x:xf numFmtId="49" fontId="5" fillId="5" borderId="0" xfId="0" applyNumberFormat="1" applyFont="1" applyFill="1" applyAlignment="1">
      <x:alignment horizontal="center" vertical="center"/>
    </x:xf>
    <x:xf numFmtId="49" fontId="7" fillId="0" borderId="0" xfId="0" applyNumberFormat="1" applyFont="1" applyAlignment="1">
      <x:alignment vertical="top" wrapText="1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horizontal="left"/>
    </x:xf>
    <x:xf numFmtId="0" fontId="11" fillId="7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wrapText="1"/>
    </x:xf>
    <x:xf numFmtId="0" fontId="12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3" fillId="9" borderId="0" xfId="0" applyNumberFormat="1" applyFont="1" applyFill="1" applyBorder="1"/>
    <x:xf numFmtId="0" fontId="13" fillId="9" borderId="0" xfId="0" applyNumberFormat="1" applyFont="1" applyFill="1" applyBorder="1" applyAlignment="1">
      <x:alignment wrapText="1"/>
    </x:xf>
    <x:xf numFmtId="0" fontId="13" fillId="9" borderId="0" xfId="0" applyNumberFormat="1" applyFont="1" applyFill="1" applyBorder="1" applyAlignment="1">
      <x:alignment horizontal="center" wrapText="1"/>
    </x:xf>
    <x:xf numFmtId="0" fontId="13" fillId="9" borderId="0" xfId="0" applyNumberFormat="1" applyFont="1" applyFill="1" applyBorder="1" applyAlignment="1">
      <x:alignment horizontal="center" vertical="center" wrapText="1"/>
    </x:xf>
    <x:xf numFmtId="0" fontId="14" fillId="0" borderId="0" xfId="0" applyNumberFormat="1" applyFont="1" applyFill="1" applyBorder="1"/>
    <x:xf numFmtId="0" fontId="14" fillId="0" borderId="1" xfId="0" applyNumberFormat="1" applyFont="1" applyFill="1" applyBorder="1"/>
    <x:xf numFmtId="0" fontId="14" fillId="0" borderId="2" xfId="0" applyNumberFormat="1" applyFont="1" applyFill="1" applyBorder="1"/>
    <x:xf numFmtId="0" fontId="14" fillId="0" borderId="3" xfId="0" applyNumberFormat="1" applyFont="1" applyFill="1" applyBorder="1"/>
    <x:xf numFmtId="0" fontId="14" fillId="0" borderId="4" xfId="0" applyNumberFormat="1" applyFont="1" applyFill="1" applyBorder="1"/>
    <x:xf numFmtId="0" fontId="14" fillId="0" borderId="5" xfId="0" applyNumberFormat="1" applyFont="1" applyFill="1" applyBorder="1"/>
    <x:xf numFmtId="0" fontId="14" fillId="0" borderId="6" xfId="0" applyNumberFormat="1" applyFont="1" applyFill="1" applyBorder="1"/>
    <x:xf numFmtId="0" fontId="14" fillId="0" borderId="7" xfId="0" applyNumberFormat="1" applyFont="1" applyFill="1" applyBorder="1"/>
    <x:xf numFmtId="0" fontId="14" fillId="0" borderId="8" xfId="0" applyNumberFormat="1" applyFont="1" applyFill="1" applyBorder="1"/>
    <x:xf numFmtId="0" fontId="14" fillId="0" borderId="9" xfId="0" applyNumberFormat="1" applyFont="1" applyFill="1" applyBorder="1"/>
    <x:xf numFmtId="0" fontId="14" fillId="0" borderId="1" xfId="0" applyNumberFormat="1" applyFont="1" applyFill="1" applyBorder="1" applyAlignment="1">
      <x:alignment wrapText="1"/>
    </x:xf>
    <x:xf numFmtId="0" fontId="14" fillId="0" borderId="2" xfId="0" applyNumberFormat="1" applyFont="1" applyFill="1" applyBorder="1" applyAlignment="1">
      <x:alignment wrapText="1"/>
    </x:xf>
    <x:xf numFmtId="0" fontId="14" fillId="0" borderId="3" xfId="0" applyNumberFormat="1" applyFont="1" applyFill="1" applyBorder="1" applyAlignment="1">
      <x:alignment wrapText="1"/>
    </x:xf>
    <x:xf numFmtId="0" fontId="14" fillId="0" borderId="4" xfId="0" applyNumberFormat="1" applyFont="1" applyFill="1" applyBorder="1" applyAlignment="1">
      <x:alignment wrapText="1"/>
    </x:xf>
    <x:xf numFmtId="0" fontId="14" fillId="0" borderId="5" xfId="0" applyNumberFormat="1" applyFont="1" applyFill="1" applyBorder="1" applyAlignment="1">
      <x:alignment wrapText="1"/>
    </x:xf>
    <x:xf numFmtId="0" fontId="14" fillId="0" borderId="6" xfId="0" applyNumberFormat="1" applyFont="1" applyFill="1" applyBorder="1" applyAlignment="1">
      <x:alignment wrapText="1"/>
    </x:xf>
    <x:xf numFmtId="0" fontId="14" fillId="0" borderId="7" xfId="0" applyNumberFormat="1" applyFont="1" applyFill="1" applyBorder="1" applyAlignment="1">
      <x:alignment wrapText="1"/>
    </x:xf>
    <x:xf numFmtId="0" fontId="14" fillId="0" borderId="8" xfId="0" applyNumberFormat="1" applyFont="1" applyFill="1" applyBorder="1" applyAlignment="1">
      <x:alignment wrapText="1"/>
    </x:xf>
    <x:xf numFmtId="0" fontId="14" fillId="0" borderId="9" xfId="0" applyNumberFormat="1" applyFont="1" applyFill="1" applyBorder="1" applyAlignment="1">
      <x:alignment wrapText="1"/>
    </x:xf>
    <x:xf numFmtId="0" fontId="14" fillId="0" borderId="1" xfId="0" applyNumberFormat="1" applyFont="1" applyFill="1" applyBorder="1" applyAlignment="1">
      <x:alignment vertical="center" wrapText="1"/>
    </x:xf>
    <x:xf numFmtId="0" fontId="14" fillId="0" borderId="2" xfId="0" applyNumberFormat="1" applyFont="1" applyFill="1" applyBorder="1" applyAlignment="1">
      <x:alignment vertical="center" wrapText="1"/>
    </x:xf>
    <x:xf numFmtId="0" fontId="14" fillId="0" borderId="3" xfId="0" applyNumberFormat="1" applyFont="1" applyFill="1" applyBorder="1" applyAlignment="1">
      <x:alignment vertical="center" wrapText="1"/>
    </x:xf>
    <x:xf numFmtId="0" fontId="14" fillId="0" borderId="4" xfId="0" applyNumberFormat="1" applyFont="1" applyFill="1" applyBorder="1" applyAlignment="1">
      <x:alignment vertical="center" wrapText="1"/>
    </x:xf>
    <x:xf numFmtId="0" fontId="14" fillId="0" borderId="5" xfId="0" applyNumberFormat="1" applyFont="1" applyFill="1" applyBorder="1" applyAlignment="1">
      <x:alignment vertical="center" wrapText="1"/>
    </x:xf>
    <x:xf numFmtId="0" fontId="14" fillId="0" borderId="6" xfId="0" applyNumberFormat="1" applyFont="1" applyFill="1" applyBorder="1" applyAlignment="1">
      <x:alignment vertical="center" wrapText="1"/>
    </x:xf>
    <x:xf numFmtId="0" fontId="14" fillId="0" borderId="7" xfId="0" applyNumberFormat="1" applyFont="1" applyFill="1" applyBorder="1" applyAlignment="1">
      <x:alignment vertical="center" wrapText="1"/>
    </x:xf>
    <x:xf numFmtId="0" fontId="14" fillId="0" borderId="8" xfId="0" applyNumberFormat="1" applyFont="1" applyFill="1" applyBorder="1" applyAlignment="1">
      <x:alignment vertical="center" wrapText="1"/>
    </x:xf>
    <x:xf numFmtId="0" fontId="14" fillId="0" borderId="9" xfId="0" applyNumberFormat="1" applyFont="1" applyFill="1" applyBorder="1" applyAlignment="1">
      <x:alignment vertical="center" wrapText="1"/>
    </x:xf>
    <x:xf numFmtId="165" fontId="14" fillId="0" borderId="1" xfId="0" applyNumberFormat="1" applyFont="1" applyFill="1" applyBorder="1" applyAlignment="1">
      <x:alignment vertical="center" wrapText="1"/>
    </x:xf>
    <x:xf numFmtId="165" fontId="14" fillId="0" borderId="4" xfId="0" applyNumberFormat="1" applyFont="1" applyFill="1" applyBorder="1" applyAlignment="1">
      <x:alignment vertical="center" wrapText="1"/>
    </x:xf>
    <x:xf numFmtId="165" fontId="14" fillId="0" borderId="7" xfId="0" applyNumberFormat="1" applyFont="1" applyFill="1" applyBorder="1" applyAlignment="1">
      <x:alignment vertical="center" wrapText="1"/>
    </x:xf>
    <x:xf numFmtId="200" fontId="14" fillId="0" borderId="2" xfId="0" applyNumberFormat="1" applyFont="1" applyFill="1" applyBorder="1" applyAlignment="1">
      <x:alignment vertical="center" wrapText="1"/>
    </x:xf>
    <x:xf numFmtId="200" fontId="14" fillId="0" borderId="5" xfId="0" applyNumberFormat="1" applyFont="1" applyFill="1" applyBorder="1" applyAlignment="1">
      <x:alignment vertical="center" wrapText="1"/>
    </x:xf>
    <x:xf numFmtId="200" fontId="14" fillId="0" borderId="8" xfId="0" applyNumberFormat="1" applyFont="1" applyFill="1" applyBorder="1" applyAlignment="1">
      <x:alignment vertical="center" wrapText="1"/>
    </x:xf>
    <x:xf numFmtId="164" fontId="14" fillId="0" borderId="2" xfId="0" applyNumberFormat="1" applyFont="1" applyFill="1" applyBorder="1" applyAlignment="1">
      <x:alignment vertical="center" wrapText="1"/>
    </x:xf>
    <x:xf numFmtId="164" fontId="14" fillId="0" borderId="5" xfId="0" applyNumberFormat="1" applyFont="1" applyFill="1" applyBorder="1" applyAlignment="1">
      <x:alignment vertical="center" wrapText="1"/>
    </x:xf>
    <x:xf numFmtId="164" fontId="14" fillId="0" borderId="8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8">
    <x:dxf>
      <x:fill>
        <x:patternFill>
          <x:bgColor rgb="FFDCFCE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  <x:numFmt numFmtId="164" formatCode="\€\ #,##0.00"/>
    </x:dxf>
    <x:dxf>
      <x:font>
        <x:u val="none"/>
        <x:name val="Calibri"/>
        <x:family val="2"/>
        <x:scheme val="minor"/>
      </x:font>
      <x:numFmt numFmtId="164" formatCode="\€\ #,##0.00"/>
    </x:dxf>
    <x:dxf>
      <x:font>
        <x:u val="none"/>
        <x:name val="Calibri"/>
        <x:family val="2"/>
        <x:scheme val="minor"/>
      </x:font>
      <x:numFmt numFmtId="164" formatCode="\€\ #,##0.00"/>
    </x:dxf>
    <x:dxf>
      <x:font>
        <x:u val="none"/>
        <x:color rgb="FF0070C0"/>
        <x:name val="Calibri"/>
        <x:family val="2"/>
        <x:scheme val="minor"/>
      </x:font>
      <x:numFmt numFmtId="164" formatCode="\€\ #,##0.00"/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  <x:dxf>
      <x:font>
        <x:u val="none"/>
        <x:name val="Calibri"/>
        <x:family val="2"/>
        <x:scheme val="minor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78d9bb99424592" /><Relationship Type="http://schemas.openxmlformats.org/officeDocument/2006/relationships/theme" Target="/xl/theme/theme1.xml" Id="R54c028b75c304ccf" /><Relationship Type="http://schemas.openxmlformats.org/officeDocument/2006/relationships/sharedStrings" Target="/xl/sharedStrings.xml" Id="R57822363db4f4302" /><Relationship Type="http://schemas.openxmlformats.org/officeDocument/2006/relationships/worksheet" Target="/xl/worksheets/sheet1.xml" Id="R0d6326f5f2c34ca5" /><Relationship Type="http://schemas.openxmlformats.org/officeDocument/2006/relationships/worksheet" Target="/xl/worksheets/sheet2.xml" Id="R4530ee0cbbf24d38" /><Relationship Type="http://schemas.openxmlformats.org/officeDocument/2006/relationships/worksheet" Target="/xl/worksheets/sheet3.xml" Id="R3b945633529a4b05" /><Relationship Type="http://schemas.openxmlformats.org/officeDocument/2006/relationships/worksheet" Target="/xl/worksheets/sheet4.xml" Id="R125d03550e6d4ccc" /><Relationship Type="http://schemas.openxmlformats.org/officeDocument/2006/relationships/worksheet" Target="/xl/worksheets/sheet5.xml" Id="R4550e452985c4ae8" /><Relationship Type="http://schemas.openxmlformats.org/officeDocument/2006/relationships/worksheet" Target="/xl/worksheets/sheet6.xml" Id="R534ab63ffae54b76" /><Relationship Type="http://schemas.openxmlformats.org/officeDocument/2006/relationships/worksheet" Target="/xl/worksheets/sheet7.xml" Id="Rbae4cfaf1ffc4b75" /><Relationship Type="http://schemas.openxmlformats.org/officeDocument/2006/relationships/worksheet" Target="/xl/worksheets/sheet8.xml" Id="Ra7d8da550e41432c" /><Relationship Type="http://schemas.openxmlformats.org/officeDocument/2006/relationships/worksheet" Target="/xl/worksheets/sheet9.xml" Id="R920da7b190a4415a" /><Relationship Type="http://schemas.openxmlformats.org/officeDocument/2006/relationships/worksheet" Target="/xl/worksheets/sheet10.xml" Id="R862f6891bd0b4e6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ed3830dcf534db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76b70b901cb449ef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plotArea>
      <c:barChart>
        <c:barDir val="col"/>
        <c:grouping val="clustered"/>
        <c:varyColors val="0"/>
        <c:ser>
          <c:idx val="0"/>
          <c:order val="0"/>
          <c:tx>
            <c:v>Importi</c:v>
          </c:tx>
          <c:dLbls/>
          <c:cat>
            <c:strRef>
              <c:f>Dashboard!$A$15:$A$18</c:f>
              <c:strCache>
                <c:ptCount val="4"/>
                <c:pt idx="0">
                  <c:v>Quote incassate</c:v>
                </c:pt>
                <c:pt idx="1">
                  <c:v>Ricavi patch incassati totali</c:v>
                </c:pt>
                <c:pt idx="2">
                  <c:v>Costo acquisti patch</c:v>
                </c:pt>
                <c:pt idx="3">
                  <c:v>Spese categoria</c:v>
                </c:pt>
              </c:strCache>
            </c:strRef>
          </c:cat>
          <c:val>
            <c:numRef>
              <c:f>Dashboard!$B$15:$B$18</c:f>
              <c:numCache>
                <c:formatCode>\€\ #,##0.00</c:formatCode>
                <c:ptCount val="4"/>
                <c:pt idx="0">
                  <c:v>375</c:v>
                </c:pt>
                <c:pt idx="1">
                  <c:v>278</c:v>
                </c:pt>
                <c:pt idx="2">
                  <c:v>540</c:v>
                </c:pt>
                <c:pt idx="3">
                  <c:v>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\€\ 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style val="2"/>
  <c:chart>
    <c:plotArea>
      <c:pieChart>
        <c:ser>
          <c:idx val="0"/>
          <c:order val="0"/>
          <c:tx>
            <c:v>Spese</c:v>
          </c:tx>
          <c:dLbls/>
          <c:cat>
            <c:strRef>
              <c:f>Magazzino_Cassa!$H$5:$H$10</c:f>
              <c:strCache>
                <c:ptCount val="6"/>
                <c:pt idx="0">
                  <c:v>Internet/WiFi</c:v>
                </c:pt>
                <c:pt idx="1">
                  <c:v>Pranzo di categoria</c:v>
                </c:pt>
                <c:pt idx="2">
                  <c:v>Materiale ufficio</c:v>
                </c:pt>
                <c:pt idx="3">
                  <c:v>Regali/Lieti eventi</c:v>
                </c:pt>
                <c:pt idx="4">
                  <c:v>Patch/acquisti</c:v>
                </c:pt>
                <c:pt idx="5">
                  <c:v>Altro</c:v>
                </c:pt>
              </c:strCache>
            </c:strRef>
          </c:cat>
          <c:val>
            <c:numRef>
              <c:f>Magazzino_Cassa!$I$5:$I$10</c:f>
              <c:numCache>
                <c:formatCode>\€\ #,##0.00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28</xdr:row>
      <xdr:rowOff>0</xdr:rowOff>
    </xdr:from>
    <xdr:to>
      <xdr:col>6</xdr:col>
      <xdr:colOff>0</xdr:colOff>
      <xdr:row>45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d3830dcf534db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12</xdr:row>
      <xdr:rowOff>0</xdr:rowOff>
    </xdr:from>
    <xdr:to>
      <xdr:col>11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6b70b901cb449e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QuoteTable" displayName="QuoteTable" ref="A3:I18" dataDxfId="52">
  <x:tableColumns count="9">
    <x:tableColumn id="1" name="ID" dataDxfId="50"/>
    <x:tableColumn id="2" name="Nome / Cognome" dataDxfId="49"/>
    <x:tableColumn id="3" name="Quota dovuta" dataDxfId="48"/>
    <x:tableColumn id="4" name="Quota pagata" dataDxfId="47"/>
    <x:tableColumn id="5" name="Saldo" dataDxfId="46">
      <x:calculatedColumnFormula>D4-C4</x:calculatedColumnFormula>
    </x:tableColumn>
    <x:tableColumn id="6" name="Stato" dataDxfId="45">
      <x:calculatedColumnFormula>IF(D4&gt;=C4,"Pagata",IF(D4&gt;0,"Parziale","Da pagare"))</x:calculatedColumnFormula>
    </x:tableColumn>
    <x:tableColumn id="7" name="Data pagamento" dataDxfId="44"/>
    <x:tableColumn id="8" name="Metodo" dataDxfId="43"/>
    <x:tableColumn id="9" name="Note" dataDxfId="42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quistiPatchTable" displayName="AcquistiPatchTable" ref="A3:I203" dataDxfId="40">
  <x:tableColumns count="9">
    <x:tableColumn id="1" name="Data" dataDxfId="38"/>
    <x:tableColumn id="2" name="Fornitore" dataDxfId="37"/>
    <x:tableColumn id="3" name="Lotto / Descrizione" dataDxfId="36"/>
    <x:tableColumn id="4" name="Quantità" dataDxfId="35"/>
    <x:tableColumn id="5" name="Costo unitario" dataDxfId="34"/>
    <x:tableColumn id="6" name="Costo totale" dataDxfId="33"/>
    <x:tableColumn id="7" name="Pagato da" dataDxfId="32"/>
    <x:tableColumn id="8" name="Stato pagamento" dataDxfId="31"/>
    <x:tableColumn id="9" name="Note" dataDxfId="30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enditePatchTable" displayName="VenditePatchTable" ref="A3:K303" dataDxfId="66">
  <x:tableColumns count="11">
    <x:tableColumn id="1" name="Data" dataDxfId="64"/>
    <x:tableColumn id="2" name="Acquirente" dataDxfId="63"/>
    <x:tableColumn id="3" name="Descrizione" dataDxfId="62"/>
    <x:tableColumn id="4" name="Quantità" dataDxfId="61"/>
    <x:tableColumn id="5" name="Prezzo unitario" dataDxfId="60"/>
    <x:tableColumn id="6" name="Ricavo" dataDxfId="59">
      <x:calculatedColumnFormula>IF(OR(D4="",E4=""),"",D4*E4)</x:calculatedColumnFormula>
    </x:tableColumn>
    <x:tableColumn id="7" name="Costo stimato" dataDxfId="58">
      <x:calculatedColumnFormula>IF(D4="","",D4*Parametri!$B$6)</x:calculatedColumnFormula>
    </x:tableColumn>
    <x:tableColumn id="8" name="Utile lordo" dataDxfId="57">
      <x:calculatedColumnFormula>IF(F4="","",F4-G4)</x:calculatedColumnFormula>
    </x:tableColumn>
    <x:tableColumn id="9" name="Incassato?" dataDxfId="56"/>
    <x:tableColumn id="10" name="Metodo" dataDxfId="55"/>
    <x:tableColumn id="11" name="Note" dataDxfId="54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peseCategoriaTable" displayName="SpeseCategoriaTable" ref="A3:H203" dataDxfId="28">
  <x:tableColumns count="8">
    <x:tableColumn id="1" name="Data" dataDxfId="26"/>
    <x:tableColumn id="2" name="Categoria" dataDxfId="25"/>
    <x:tableColumn id="3" name="Descrizione" dataDxfId="24"/>
    <x:tableColumn id="4" name="Importo" dataDxfId="23"/>
    <x:tableColumn id="5" name="Pagato da" dataDxfId="22"/>
    <x:tableColumn id="6" name="Metodo" dataDxfId="21"/>
    <x:tableColumn id="7" name="Approvata?" dataDxfId="20"/>
    <x:tableColumn id="8" name="Note" dataDxfId="19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ellaAffidamentiPatch" displayName="TabellaAffidamentiPatch" ref="A3:J203" headerRowCount="1" totalsRowCount="0" totalsRowShown="0">
  <x:tableColumns count="10">
    <x:tableColumn id="1" name="Data affidamento"/>
    <x:tableColumn id="2" name="Venditore"/>
    <x:tableColumn id="3" name="Quantità affidata"/>
    <x:tableColumn id="4" name="Quantità venduta"/>
    <x:tableColumn id="5" name="Quantità restituita"/>
    <x:tableColumn id="6" name="Patch ancora affidate"/>
    <x:tableColumn id="7" name="Incasso vendite"/>
    <x:tableColumn id="8" name="Versato in cassa"/>
    <x:tableColumn id="9" name="Denaro da versare"/>
    <x:tableColumn id="10" name="Stato /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55fbdaf98ff40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07922a4f70bf4b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45ad750f3dfb4a8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a8e61bf009e94c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5b002e42db1749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a3b429e6e9b24d1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5.xml" Id="R50a70dec9ab64fe8" /></Relationships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1" width="20" style="1" customWidth="1"/>
    <x:col min="2" max="2" width="18" style="1" customWidth="1"/>
    <x:col min="3" max="3" width="6" style="1" customWidth="1"/>
    <x:col min="4" max="4" width="19.6640625" style="1" customWidth="1"/>
    <x:col min="5" max="6" width="18" style="1" customWidth="1"/>
    <x:col min="7" max="7" width="19.83203125" style="1" customWidth="1"/>
    <x:col min="8" max="8" width="6.33203125" style="1" customWidth="1"/>
    <x:col min="9" max="9" width="5.33203125" style="1" customWidth="1"/>
    <x:col min="10" max="10" width="23.5" style="1" customWidth="1"/>
    <x:col min="11" max="12" width="18" style="1" customWidth="1"/>
    <x:col min="13" max="16384" width="8.83203125" style="1" customWidth="0"/>
  </x:cols>
  <x:sheetData>
    <x:row r="1" ht="37.25" customHeight="1">
      <x:c r="A1" s="14" t="s">
        <x:v>0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</x:row>
    <x:row r="2" ht="20" customHeight="1">
      <x:c r="A2" s="16" t="s">
        <x:v>1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</x:row>
    <x:row r="3" ht="32" customHeight="1"/>
    <x:row r="4" ht="20" customHeight="1">
      <x:c r="A4" s="17" t="s">
        <x:v>2</x:v>
      </x:c>
      <x:c r="B4" s="15"/>
      <x:c r="C4" s="15"/>
      <x:c r="D4" s="17" t="s">
        <x:v>3</x:v>
      </x:c>
      <x:c r="E4" s="15"/>
      <x:c r="F4" s="15"/>
      <x:c r="G4" s="17" t="s">
        <x:v>4</x:v>
      </x:c>
      <x:c r="H4" s="15"/>
      <x:c r="I4" s="15"/>
      <x:c r="J4" s="17" t="s">
        <x:v>5</x:v>
      </x:c>
      <x:c r="K4" s="15"/>
      <x:c r="L4" s="15"/>
    </x:row>
    <x:row r="5" ht="25.5" customHeight="1">
      <x:c r="A5" s="18" t="n">
        <x:f>Magazzino_Cassa!B16</x:f>
        <x:v>33</x:v>
      </x:c>
      <x:c r="B5" s="15"/>
      <x:c r="C5" s="15"/>
      <x:c r="D5" s="18" t="n">
        <x:f>Magazzino_Cassa!B6</x:f>
        <x:v>375</x:v>
      </x:c>
      <x:c r="E5" s="15"/>
      <x:c r="F5" s="15"/>
      <x:c r="G5" s="19" t="n">
        <x:f>Magazzino_Cassa!B14</x:f>
        <x:v>152</x:v>
      </x:c>
      <x:c r="H5" s="15"/>
      <x:c r="I5" s="15"/>
      <x:c r="J5" s="18" t="n">
        <x:f>Magazzino_Cassa!B12</x:f>
        <x:v>278</x:v>
      </x:c>
      <x:c r="K5" s="15"/>
      <x:c r="L5" s="15"/>
    </x:row>
    <x:row r="6">
      <x:c r="A6" s="15"/>
      <x:c r="B6" s="15"/>
      <x:c r="C6" s="15"/>
      <x:c r="D6" s="15"/>
      <x:c r="E6" s="15"/>
      <x:c r="F6" s="15"/>
      <x:c r="G6" s="15"/>
      <x:c r="H6" s="15"/>
      <x:c r="I6" s="15"/>
      <x:c r="J6" s="15"/>
      <x:c r="K6" s="15"/>
      <x:c r="L6" s="15"/>
    </x:row>
    <x:row r="8" ht="20" customHeight="1">
      <x:c r="A8" s="17" t="s">
        <x:v>6</x:v>
      </x:c>
      <x:c r="B8" s="15"/>
      <x:c r="C8" s="15"/>
      <x:c r="D8" s="17" t="s">
        <x:v>7</x:v>
      </x:c>
      <x:c r="E8" s="15"/>
      <x:c r="F8" s="15"/>
      <x:c r="G8" s="17" t="s">
        <x:v>8</x:v>
      </x:c>
      <x:c r="H8" s="15"/>
      <x:c r="I8" s="15"/>
      <x:c r="J8" s="17" t="s">
        <x:v>9</x:v>
      </x:c>
      <x:c r="K8" s="15"/>
      <x:c r="L8" s="15"/>
    </x:row>
    <x:row r="9" ht="25.5" customHeight="1">
      <x:c r="A9" s="18" t="n">
        <x:f>Magazzino_Cassa!B15</x:f>
        <x:v>80</x:v>
      </x:c>
      <x:c r="B9" s="15"/>
      <x:c r="C9" s="15"/>
      <x:c r="D9" s="18" t="n">
        <x:f>Magazzino_Cassa!B13</x:f>
        <x:v>224.00000000000006</x:v>
      </x:c>
      <x:c r="E9" s="15"/>
      <x:c r="F9" s="15"/>
      <x:c r="G9" s="21" t="str">
        <x:f>Magazzino_Cassa!B8&amp;"/"&amp;Parametri!B4</x:f>
        <x:v>15/15</x:v>
      </x:c>
      <x:c r="H9" s="15"/>
      <x:c r="I9" s="15"/>
      <x:c r="J9" s="18" t="n">
        <x:f>Parametri!B9</x:f>
        <x:v>12.3</x:v>
      </x:c>
      <x:c r="K9" s="15"/>
      <x:c r="L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</x:row>
    <x:row r="13" ht="20" customHeight="1">
      <x:c r="A13" s="20" t="s">
        <x:v>10</x:v>
      </x:c>
      <x:c r="B13" s="15"/>
      <x:c r="C13" s="15"/>
      <x:c r="D13" s="15"/>
      <x:c r="E13" s="15"/>
      <x:c r="F13" s="15"/>
      <x:c r="G13" s="20" t="s">
        <x:v>11</x:v>
      </x:c>
      <x:c r="H13" s="15"/>
      <x:c r="I13" s="15"/>
      <x:c r="J13" s="15"/>
      <x:c r="K13" s="15"/>
      <x:c r="L13" s="15"/>
    </x:row>
    <x:row r="14" ht="20" customHeight="1">
      <x:c r="A14" s="2" t="s">
        <x:v>12</x:v>
      </x:c>
      <x:c r="B14" s="2" t="s">
        <x:v>13</x:v>
      </x:c>
      <x:c r="C14" s="2" t="s">
        <x:v>14</x:v>
      </x:c>
      <x:c r="D14" s="2" t="s">
        <x:v>15</x:v>
      </x:c>
      <x:c r="G14" s="2" t="s">
        <x:v>12</x:v>
      </x:c>
      <x:c r="H14" s="2" t="s">
        <x:v>16</x:v>
      </x:c>
      <x:c r="I14" s="2" t="s">
        <x:v>17</x:v>
      </x:c>
      <x:c r="J14" s="2" t="s">
        <x:v>15</x:v>
      </x:c>
    </x:row>
    <x:row r="15" ht="32" customHeight="1">
      <x:c r="A15" s="3" t="s">
        <x:v>3</x:v>
      </x:c>
      <x:c r="B15" s="4" t="n">
        <x:f>Magazzino_Cassa!B6</x:f>
        <x:v>375</x:v>
      </x:c>
      <x:c r="C15" s="3" t="s">
        <x:v>18</x:v>
      </x:c>
      <x:c r="D15" s="3" t="s">
        <x:v>19</x:v>
      </x:c>
      <x:c r="G15" s="3" t="s">
        <x:v>20</x:v>
      </x:c>
      <x:c r="H15" s="5" t="n">
        <x:f>Magazzino_Cassa!B9</x:f>
        <x:v>200</x:v>
      </x:c>
      <x:c r="I15" s="3" t="s">
        <x:v>21</x:v>
      </x:c>
      <x:c r="J15" s="3" t="s">
        <x:v>22</x:v>
      </x:c>
    </x:row>
    <x:row r="16" ht="32" customHeight="1">
      <x:c r="A16" s="3" t="s">
        <x:v>5</x:v>
      </x:c>
      <x:c r="B16" s="4" t="n">
        <x:f>Magazzino_Cassa!B12</x:f>
        <x:v>278</x:v>
      </x:c>
      <x:c r="C16" s="3" t="s">
        <x:v>18</x:v>
      </x:c>
      <x:c r="D16" s="3" t="s">
        <x:v>23</x:v>
      </x:c>
      <x:c r="G16" s="3" t="s">
        <x:v>24</x:v>
      </x:c>
      <x:c r="H16" s="5" t="n">
        <x:f>Magazzino_Cassa!B11</x:f>
        <x:v>48</x:v>
      </x:c>
      <x:c r="I16" s="3" t="s">
        <x:v>21</x:v>
      </x:c>
      <x:c r="J16" s="3" t="s">
        <x:v>25</x:v>
      </x:c>
    </x:row>
    <x:row r="17" ht="32" customHeight="1">
      <x:c r="A17" s="3" t="s">
        <x:v>26</x:v>
      </x:c>
      <x:c r="B17" s="4" t="n">
        <x:f>Magazzino_Cassa!B10</x:f>
        <x:v>540</x:v>
      </x:c>
      <x:c r="C17" s="3" t="s">
        <x:v>27</x:v>
      </x:c>
      <x:c r="D17" s="3" t="s">
        <x:v>28</x:v>
      </x:c>
      <x:c r="G17" s="3" t="s">
        <x:v>4</x:v>
      </x:c>
      <x:c r="H17" s="5" t="n">
        <x:f>Magazzino_Cassa!B14</x:f>
        <x:v>152</x:v>
      </x:c>
      <x:c r="I17" s="3" t="s">
        <x:v>21</x:v>
      </x:c>
      <x:c r="J17" s="3" t="s">
        <x:v>29</x:v>
      </x:c>
    </x:row>
    <x:row r="18" ht="32" customHeight="1">
      <x:c r="A18" s="3" t="s">
        <x:v>6</x:v>
      </x:c>
      <x:c r="B18" s="4" t="n">
        <x:f>Magazzino_Cassa!B15</x:f>
        <x:v>80</x:v>
      </x:c>
      <x:c r="C18" s="3" t="s">
        <x:v>27</x:v>
      </x:c>
      <x:c r="D18" s="3" t="s">
        <x:v>30</x:v>
      </x:c>
      <x:c r="G18" s="3" t="s">
        <x:v>31</x:v>
      </x:c>
      <x:c r="H18" s="5" t="n">
        <x:f>Magazzino_Cassa!B21</x:f>
        <x:v>36</x:v>
      </x:c>
      <x:c r="I18" s="3" t="s">
        <x:v>21</x:v>
      </x:c>
      <x:c r="J18" s="3" t="s">
        <x:v>32</x:v>
      </x:c>
    </x:row>
    <x:row r="19" ht="32" customHeight="1">
      <x:c r="A19" s="6" t="s">
        <x:v>33</x:v>
      </x:c>
      <x:c r="B19" s="7" t="n">
        <x:f>Magazzino_Cassa!B16</x:f>
        <x:v>33</x:v>
      </x:c>
      <x:c r="C19" s="6" t="s">
        <x:v>34</x:v>
      </x:c>
      <x:c r="D19" s="6" t="s">
        <x:v>35</x:v>
      </x:c>
      <x:c r="G19" s="3" t="s">
        <x:v>9</x:v>
      </x:c>
      <x:c r="H19" s="4" t="n">
        <x:f>Parametri!B9</x:f>
        <x:v>12.3</x:v>
      </x:c>
      <x:c r="I19" s="3" t="s">
        <x:v>36</x:v>
      </x:c>
      <x:c r="J19" s="3" t="s">
        <x:v>37</x:v>
      </x:c>
    </x:row>
    <x:row r="20" ht="30">
      <x:c r="A20" s="3" t="s">
        <x:v>38</x:v>
      </x:c>
      <x:c r="B20" s="4" t="n">
        <x:f>Magazzino_Cassa!B17</x:f>
        <x:v>170</x:v>
      </x:c>
      <x:c r="C20" s="3" t="s">
        <x:v>18</x:v>
      </x:c>
      <x:c r="D20" s="3" t="s">
        <x:v>39</x:v>
      </x:c>
      <x:c r="G20" s="3" t="s">
        <x:v>40</x:v>
      </x:c>
      <x:c r="H20" s="5" t="n">
        <x:f>Magazzino_Cassa!B24</x:f>
        <x:v>45</x:v>
      </x:c>
      <x:c r="I20" s="3" t="s">
        <x:v>21</x:v>
      </x:c>
      <x:c r="J20" s="3" t="s">
        <x:v>41</x:v>
      </x:c>
    </x:row>
    <x:row r="21" ht="30">
      <x:c r="A21" s="3" t="s">
        <x:v>42</x:v>
      </x:c>
      <x:c r="B21" s="4" t="n">
        <x:f>Magazzino_Cassa!B18</x:f>
        <x:v>108</x:v>
      </x:c>
      <x:c r="C21" s="3" t="s">
        <x:v>18</x:v>
      </x:c>
      <x:c r="D21" s="3" t="s">
        <x:v>43</x:v>
      </x:c>
      <x:c r="G21" s="3" t="s">
        <x:v>44</x:v>
      </x:c>
      <x:c r="H21" s="4" t="n">
        <x:f>Parametri!B12</x:f>
        <x:v>9.3</x:v>
      </x:c>
      <x:c r="I21" s="3" t="s">
        <x:v>36</x:v>
      </x:c>
      <x:c r="J21" s="3" t="s">
        <x:v>45</x:v>
      </x:c>
    </x:row>
    <x:row r="23" ht="20" customHeight="1">
      <x:c r="A23" s="20" t="s">
        <x:v>46</x:v>
      </x:c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</x:row>
    <x:row r="24" ht="64" customHeight="1">
      <x:c r="A24" s="6" t="s">
        <x:v>47</x:v>
      </x:c>
      <x:c r="B24" s="3" t="s">
        <x:v>48</x:v>
      </x:c>
    </x:row>
    <x:row r="25" ht="80" customHeight="1">
      <x:c r="A25" s="6" t="s">
        <x:v>49</x:v>
      </x:c>
      <x:c r="B25" s="3" t="s">
        <x:v>50</x:v>
      </x:c>
    </x:row>
    <x:row r="26" ht="96" customHeight="1">
      <x:c r="A26" s="6" t="s">
        <x:v>51</x:v>
      </x:c>
      <x:c r="B26" s="3" t="s">
        <x:v>52</x:v>
      </x:c>
    </x:row>
  </x:sheetData>
  <x:mergeCells>
    <x:mergeCell ref="A23:L23"/>
    <x:mergeCell ref="A8:C10"/>
    <x:mergeCell ref="D8:F10"/>
    <x:mergeCell ref="G8:I10"/>
    <x:mergeCell ref="J8:L10"/>
    <x:mergeCell ref="A13:F13"/>
    <x:mergeCell ref="G13:L13"/>
    <x:mergeCell ref="A1:L1"/>
    <x:mergeCell ref="A2:L2"/>
    <x:mergeCell ref="A4:C6"/>
    <x:mergeCell ref="D4:F6"/>
    <x:mergeCell ref="G4:I6"/>
    <x:mergeCell ref="J4:L6"/>
  </x:mergeCells>
  <x:conditionalFormatting sqref="B19:B19">
    <x:cfRule type="expression" dxfId="18" priority="1">
      <x:formula>B19&lt;0</x:formula>
    </x:cfRule>
    <x:cfRule type="expression" dxfId="17" priority="2">
      <x:formula>B19&gt;=0</x:formula>
    </x:cfRule>
  </x:conditionalFormatting>
  <x:pageMargins left="0.7" right="0.7" top="0.75" bottom="0.75" header="0.3" footer="0.3"/>
  <x:drawing xmlns:r="http://schemas.openxmlformats.org/officeDocument/2006/relationships" r:id="R155fbdaf98ff40d7"/>
</x:worksheet>
</file>

<file path=xl/worksheets/sheet2.xml><?xml version="1.0" encoding="utf-8"?>
<x:worksheet xmlns:x="http://schemas.openxmlformats.org/spreadsheetml/2006/main">
  <x:sheetFormatPr baseColWidth="10" defaultColWidth="8.83203125" defaultRowHeight="15"/>
  <x:cols>
    <x:col min="1" max="1" width="10" style="1" customWidth="1"/>
    <x:col min="2" max="2" width="28" style="1" customWidth="1"/>
    <x:col min="3" max="3" width="78" style="1" hidden="0" customWidth="1"/>
    <x:col min="4" max="16384" width="8.83203125" style="1" customWidth="0"/>
  </x:cols>
  <x:sheetData>
    <x:row r="1" ht="37.25" customHeight="1">
      <x:c r="A1" s="14" t="s">
        <x:v>53</x:v>
      </x:c>
      <x:c r="B1" s="15"/>
      <x:c r="C1" s="15"/>
      <x:c r="D1" s="15"/>
      <x:c r="E1" s="15"/>
      <x:c r="F1" s="15"/>
    </x:row>
    <x:row r="3" ht="32" customHeight="1">
      <x:c r="A3" s="73" t="s">
        <x:v>54</x:v>
      </x:c>
      <x:c r="B3" s="73" t="s">
        <x:v>55</x:v>
      </x:c>
      <x:c r="C3" s="73" t="s">
        <x:v>56</x:v>
      </x:c>
    </x:row>
    <x:row r="4" ht="20" customHeight="1">
      <x:c r="A4" s="74" t="s">
        <x:v>57</x:v>
      </x:c>
      <x:c r="B4" s="74" t="s">
        <x:v>58</x:v>
      </x:c>
      <x:c r="C4" s="74" t="s">
        <x:v>59</x:v>
      </x:c>
    </x:row>
    <x:row r="5" ht="20" customHeight="1">
      <x:c r="A5" s="74" t="s">
        <x:v>60</x:v>
      </x:c>
      <x:c r="B5" s="74" t="s">
        <x:v>61</x:v>
      </x:c>
      <x:c r="C5" s="74" t="s">
        <x:v>62</x:v>
      </x:c>
    </x:row>
    <x:row r="6" ht="20" customHeight="1">
      <x:c r="A6" s="74" t="s">
        <x:v>63</x:v>
      </x:c>
      <x:c r="B6" s="74" t="s">
        <x:v>64</x:v>
      </x:c>
      <x:c r="C6" s="74" t="s">
        <x:v>65</x:v>
      </x:c>
    </x:row>
    <x:row r="7" ht="20" customHeight="1">
      <x:c r="A7" s="74" t="s">
        <x:v>66</x:v>
      </x:c>
      <x:c r="B7" s="74" t="s">
        <x:v>67</x:v>
      </x:c>
      <x:c r="C7" s="74" t="s">
        <x:v>68</x:v>
      </x:c>
    </x:row>
    <x:row r="8" ht="20" customHeight="1">
      <x:c r="A8" s="74" t="s">
        <x:v>66</x:v>
      </x:c>
      <x:c r="B8" s="74" t="s">
        <x:v>67</x:v>
      </x:c>
      <x:c r="C8" s="74" t="s">
        <x:v>68</x:v>
      </x:c>
    </x:row>
    <x:row r="9" ht="20" customHeight="1">
      <x:c r="A9" s="74" t="str">
        <x:v>6</x:v>
      </x:c>
      <x:c r="B9" s="74" t="s">
        <x:v>69</x:v>
      </x:c>
      <x:c r="C9" s="74" t="s">
        <x:v>70</x:v>
      </x:c>
    </x:row>
    <x:row r="10" ht="20" customHeight="1">
      <x:c r="A10" s="74" t="str">
        <x:v>7</x:v>
      </x:c>
      <x:c r="B10" s="74" t="s">
        <x:v>69</x:v>
      </x:c>
      <x:c r="C10" s="74" t="s">
        <x:v>70</x:v>
      </x:c>
    </x:row>
    <x:row r="11">
      <x:c r="A11" s="75" t="str">
        <x:v>8</x:v>
      </x:c>
      <x:c r="B11" s="75" t="s">
        <x:v>69</x:v>
      </x:c>
      <x:c r="C11" s="75" t="s">
        <x:v>70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5"/>
  <x:cols>
    <x:col min="1" max="1" width="25.1640625" style="1" customWidth="1"/>
    <x:col min="2" max="2" width="6.33203125" style="1" customWidth="1"/>
    <x:col min="3" max="3" width="6.5" style="1" customWidth="1"/>
    <x:col min="4" max="4" width="40.6640625" style="1" customWidth="1"/>
    <x:col min="5" max="16384" width="8.83203125" style="1" customWidth="0"/>
  </x:cols>
  <x:sheetData>
    <x:row r="1" ht="37.25" customHeight="1">
      <x:c r="A1" s="14" t="s">
        <x:v>71</x:v>
      </x:c>
      <x:c r="B1" s="15"/>
      <x:c r="C1" s="15"/>
      <x:c r="D1" s="15"/>
    </x:row>
    <x:row r="3" ht="32" customHeight="1">
      <x:c r="A3" s="2" t="s">
        <x:v>12</x:v>
      </x:c>
      <x:c r="B3" s="2" t="s">
        <x:v>16</x:v>
      </x:c>
      <x:c r="C3" s="2" t="s">
        <x:v>17</x:v>
      </x:c>
      <x:c r="D3" s="2" t="s">
        <x:v>15</x:v>
      </x:c>
    </x:row>
    <x:row r="4" ht="20" customHeight="1">
      <x:c r="A4" s="3" t="s">
        <x:v>72</x:v>
      </x:c>
      <x:c r="B4" s="5">
        <x:v>15</x:v>
      </x:c>
      <x:c r="C4" s="3" t="s">
        <x:v>73</x:v>
      </x:c>
      <x:c r="D4" s="3" t="s">
        <x:v>74</x:v>
      </x:c>
    </x:row>
    <x:row r="5" ht="20" customHeight="1">
      <x:c r="A5" s="3" t="s">
        <x:v>75</x:v>
      </x:c>
      <x:c r="B5" s="4">
        <x:v>25</x:v>
      </x:c>
      <x:c r="C5" s="3" t="s">
        <x:v>36</x:v>
      </x:c>
      <x:c r="D5" s="3" t="s">
        <x:v>76</x:v>
      </x:c>
    </x:row>
    <x:row r="6" ht="20" customHeight="1">
      <x:c r="A6" s="3" t="s">
        <x:v>77</x:v>
      </x:c>
      <x:c r="B6" s="4">
        <x:v>2.7</x:v>
      </x:c>
      <x:c r="C6" s="3" t="s">
        <x:v>36</x:v>
      </x:c>
      <x:c r="D6" s="3" t="s">
        <x:v>78</x:v>
      </x:c>
    </x:row>
    <x:row r="7" ht="20" customHeight="1">
      <x:c r="A7" s="3" t="s">
        <x:v>79</x:v>
      </x:c>
      <x:c r="B7" s="4">
        <x:v>15</x:v>
      </x:c>
      <x:c r="C7" s="3" t="s">
        <x:v>36</x:v>
      </x:c>
      <x:c r="D7" s="3" t="s">
        <x:v>80</x:v>
      </x:c>
    </x:row>
    <x:row r="8" ht="20" customHeight="1">
      <x:c r="A8" s="3" t="s">
        <x:v>81</x:v>
      </x:c>
      <x:c r="B8" s="4">
        <x:v>12</x:v>
      </x:c>
      <x:c r="C8" s="3" t="s">
        <x:v>36</x:v>
      </x:c>
      <x:c r="D8" s="3" t="s">
        <x:v>82</x:v>
      </x:c>
    </x:row>
    <x:row r="9" ht="20" customHeight="1">
      <x:c r="A9" s="3" t="s">
        <x:v>83</x:v>
      </x:c>
      <x:c r="B9" s="4" t="n">
        <x:f>B7-B6</x:f>
        <x:v>12.3</x:v>
      </x:c>
      <x:c r="C9" s="3" t="s">
        <x:v>36</x:v>
      </x:c>
      <x:c r="D9" s="3" t="s">
        <x:v>84</x:v>
      </x:c>
    </x:row>
    <x:row r="10" ht="20" customHeight="1">
      <x:c r="A10" s="3" t="s">
        <x:v>85</x:v>
      </x:c>
      <x:c r="B10" s="4">
        <x:v>0</x:v>
      </x:c>
      <x:c r="C10" s="3" t="s">
        <x:v>36</x:v>
      </x:c>
      <x:c r="D10" s="3" t="s">
        <x:v>86</x:v>
      </x:c>
    </x:row>
    <x:row r="11" ht="20" customHeight="1">
      <x:c r="A11" s="3" t="s">
        <x:v>87</x:v>
      </x:c>
      <x:c r="B11" s="4">
        <x:v>0</x:v>
      </x:c>
      <x:c r="C11" s="3" t="s">
        <x:v>36</x:v>
      </x:c>
      <x:c r="D11" s="3" t="s">
        <x:v>88</x:v>
      </x:c>
    </x:row>
    <x:row r="12">
      <x:c r="A12" s="3" t="s">
        <x:v>89</x:v>
      </x:c>
      <x:c r="B12" s="4" t="n">
        <x:f>B8-B6</x:f>
        <x:v>9.3</x:v>
      </x:c>
      <x:c r="C12" s="3" t="s">
        <x:v>36</x:v>
      </x:c>
      <x:c r="D12" s="3" t="s">
        <x:v>90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5"/>
  <x:cols>
    <x:col min="1" max="1" width="5.83203125" style="1" customWidth="1"/>
    <x:col min="2" max="2" width="28" style="1" customWidth="1"/>
    <x:col min="3" max="4" width="15" style="1" customWidth="1"/>
    <x:col min="5" max="6" width="14" style="1" customWidth="1"/>
    <x:col min="7" max="8" width="16" style="1" customWidth="1"/>
    <x:col min="9" max="9" width="36" style="1" customWidth="1"/>
    <x:col min="10" max="10" width="10.1640625" style="1" customWidth="1"/>
    <x:col min="11" max="16384" width="8.83203125" style="1" customWidth="0"/>
  </x:cols>
  <x:sheetData>
    <x:row r="1" ht="37.25" customHeight="1">
      <x:c r="A1" s="14" t="s">
        <x:v>91</x:v>
      </x:c>
      <x:c r="B1" s="15"/>
      <x:c r="C1" s="15"/>
      <x:c r="D1" s="15"/>
      <x:c r="E1" s="15"/>
      <x:c r="F1" s="15"/>
      <x:c r="G1" s="15"/>
      <x:c r="H1" s="15"/>
      <x:c r="I1" s="15"/>
    </x:row>
    <x:row r="3" ht="32" customHeight="1">
      <x:c r="A3" s="2" t="s">
        <x:v>92</x:v>
      </x:c>
      <x:c r="B3" s="2" t="s">
        <x:v>93</x:v>
      </x:c>
      <x:c r="C3" s="2" t="s">
        <x:v>94</x:v>
      </x:c>
      <x:c r="D3" s="2" t="s">
        <x:v>95</x:v>
      </x:c>
      <x:c r="E3" s="2" t="s">
        <x:v>34</x:v>
      </x:c>
      <x:c r="F3" s="2" t="s">
        <x:v>96</x:v>
      </x:c>
      <x:c r="G3" s="2" t="s">
        <x:v>97</x:v>
      </x:c>
      <x:c r="H3" s="2" t="s">
        <x:v>98</x:v>
      </x:c>
      <x:c r="I3" s="2" t="s">
        <x:v>15</x:v>
      </x:c>
      <x:c r="J3" s="2" t="s">
        <x:v>99</x:v>
      </x:c>
    </x:row>
    <x:row r="4" ht="30">
      <x:c r="A4" s="3">
        <x:v>1</x:v>
      </x:c>
      <x:c r="B4" s="3" t="s">
        <x:v>100</x:v>
      </x:c>
      <x:c r="C4" s="4" t="n">
        <x:f>Parametri!$B$5</x:f>
        <x:v>25</x:v>
      </x:c>
      <x:c r="D4" s="4">
        <x:v>25</x:v>
      </x:c>
      <x:c r="E4" s="4" t="n">
        <x:f>D4-C4</x:f>
        <x:v>0</x:v>
      </x:c>
      <x:c r="F4" s="3" t="str">
        <x:f>IF(D4&gt;=C4,"Pagata",IF(D4&gt;0,"Parziale","Da pagare"))</x:f>
        <x:v>Pagata</x:v>
      </x:c>
      <x:c r="G4" s="8" t="s">
        <x:v>101</x:v>
      </x:c>
      <x:c r="H4" s="3" t="s">
        <x:v>102</x:v>
      </x:c>
      <x:c r="I4" s="3" t="s">
        <x:v>103</x:v>
      </x:c>
      <x:c r="J4" s="4">
        <x:v>0</x:v>
      </x:c>
    </x:row>
    <x:row r="5">
      <x:c r="A5" s="3">
        <x:v>2</x:v>
      </x:c>
      <x:c r="B5" s="3" t="s">
        <x:v>104</x:v>
      </x:c>
      <x:c r="C5" s="4" t="n">
        <x:f>Parametri!$B$5</x:f>
        <x:v>25</x:v>
      </x:c>
      <x:c r="D5" s="4">
        <x:v>25</x:v>
      </x:c>
      <x:c r="E5" s="4" t="n">
        <x:f t="shared" ref="E5:E18" si="0">D5-C5</x:f>
        <x:v>0</x:v>
      </x:c>
      <x:c r="F5" s="3" t="str">
        <x:f t="shared" ref="F5:F18" si="1">IF(D5&gt;=C5,"Pagata",IF(D5&gt;0,"Parziale","Da pagare"))</x:f>
        <x:v>Pagata</x:v>
      </x:c>
      <x:c r="G5" s="8" t="s">
        <x:v>101</x:v>
      </x:c>
      <x:c r="H5" s="3" t="s">
        <x:v>105</x:v>
      </x:c>
      <x:c r="I5" s="3"/>
    </x:row>
    <x:row r="6">
      <x:c r="A6" s="3">
        <x:v>3</x:v>
      </x:c>
      <x:c r="B6" s="3" t="s">
        <x:v>106</x:v>
      </x:c>
      <x:c r="C6" s="4" t="n">
        <x:f>Parametri!$B$5</x:f>
        <x:v>25</x:v>
      </x:c>
      <x:c r="D6" s="4">
        <x:v>25</x:v>
      </x:c>
      <x:c r="E6" s="4">
        <x:f t="shared" si="0"/>
        <x:v>0</x:v>
      </x:c>
      <x:c r="F6" s="3" t="str">
        <x:f t="shared" si="1"/>
        <x:v>Pagata</x:v>
      </x:c>
      <x:c r="G6" s="8" t="s">
        <x:v>107</x:v>
      </x:c>
      <x:c r="H6" s="3" t="s">
        <x:v>105</x:v>
      </x:c>
      <x:c r="I6" s="3"/>
    </x:row>
    <x:row r="7">
      <x:c r="A7" s="3">
        <x:v>4</x:v>
      </x:c>
      <x:c r="B7" s="3" t="s">
        <x:v>108</x:v>
      </x:c>
      <x:c r="C7" s="4" t="n">
        <x:f>Parametri!$B$5</x:f>
        <x:v>25</x:v>
      </x:c>
      <x:c r="D7" s="4">
        <x:v>25</x:v>
      </x:c>
      <x:c r="E7" s="4">
        <x:f t="shared" si="0"/>
        <x:v>0</x:v>
      </x:c>
      <x:c r="F7" s="3" t="str">
        <x:f t="shared" si="1"/>
        <x:v>Pagata</x:v>
      </x:c>
      <x:c r="G7" s="8" t="s">
        <x:v>101</x:v>
      </x:c>
      <x:c r="H7" s="3" t="s">
        <x:v>105</x:v>
      </x:c>
      <x:c r="I7" s="3"/>
    </x:row>
    <x:row r="8">
      <x:c r="A8" s="3">
        <x:v>5</x:v>
      </x:c>
      <x:c r="B8" s="3" t="s">
        <x:v>109</x:v>
      </x:c>
      <x:c r="C8" s="4" t="n">
        <x:f>Parametri!$B$5</x:f>
        <x:v>25</x:v>
      </x:c>
      <x:c r="D8" s="4">
        <x:v>25</x:v>
      </x:c>
      <x:c r="E8" s="4">
        <x:f t="shared" si="0"/>
        <x:v>0</x:v>
      </x:c>
      <x:c r="F8" s="3" t="str">
        <x:f t="shared" si="1"/>
        <x:v>Pagata</x:v>
      </x:c>
      <x:c r="G8" s="8" t="s">
        <x:v>101</x:v>
      </x:c>
      <x:c r="H8" s="3" t="s">
        <x:v>105</x:v>
      </x:c>
      <x:c r="I8" s="3"/>
    </x:row>
    <x:row r="9">
      <x:c r="A9" s="3">
        <x:v>6</x:v>
      </x:c>
      <x:c r="B9" s="3" t="s">
        <x:v>110</x:v>
      </x:c>
      <x:c r="C9" s="4" t="n">
        <x:f>Parametri!$B$5</x:f>
        <x:v>25</x:v>
      </x:c>
      <x:c r="D9" s="4">
        <x:v>25</x:v>
      </x:c>
      <x:c r="E9" s="4">
        <x:f t="shared" si="0"/>
        <x:v>0</x:v>
      </x:c>
      <x:c r="F9" s="3" t="str">
        <x:f t="shared" si="1"/>
        <x:v>Pagata</x:v>
      </x:c>
      <x:c r="G9" s="8" t="s">
        <x:v>111</x:v>
      </x:c>
      <x:c r="H9" s="3" t="s">
        <x:v>105</x:v>
      </x:c>
      <x:c r="I9" s="3"/>
    </x:row>
    <x:row r="10">
      <x:c r="A10" s="3">
        <x:v>7</x:v>
      </x:c>
      <x:c r="B10" s="3" t="s">
        <x:v>112</x:v>
      </x:c>
      <x:c r="C10" s="4" t="n">
        <x:f>Parametri!$B$5</x:f>
        <x:v>25</x:v>
      </x:c>
      <x:c r="D10" s="4">
        <x:v>25</x:v>
      </x:c>
      <x:c r="E10" s="4">
        <x:f t="shared" si="0"/>
        <x:v>0</x:v>
      </x:c>
      <x:c r="F10" s="3" t="str">
        <x:f t="shared" si="1"/>
        <x:v>Pagata</x:v>
      </x:c>
      <x:c r="G10" s="8" t="s">
        <x:v>101</x:v>
      </x:c>
      <x:c r="H10" s="3" t="s">
        <x:v>105</x:v>
      </x:c>
      <x:c r="I10" s="3"/>
    </x:row>
    <x:row r="11">
      <x:c r="A11" s="3">
        <x:v>8</x:v>
      </x:c>
      <x:c r="B11" s="3" t="s">
        <x:v>113</x:v>
      </x:c>
      <x:c r="C11" s="4" t="n">
        <x:f>Parametri!$B$5</x:f>
        <x:v>25</x:v>
      </x:c>
      <x:c r="D11" s="4">
        <x:v>25</x:v>
      </x:c>
      <x:c r="E11" s="4">
        <x:f t="shared" si="0"/>
        <x:v>0</x:v>
      </x:c>
      <x:c r="F11" s="3" t="str">
        <x:f t="shared" si="1"/>
        <x:v>Pagata</x:v>
      </x:c>
      <x:c r="G11" s="8" t="s">
        <x:v>114</x:v>
      </x:c>
      <x:c r="H11" s="3" t="s">
        <x:v>105</x:v>
      </x:c>
      <x:c r="I11" s="3"/>
    </x:row>
    <x:row r="12">
      <x:c r="A12" s="3">
        <x:v>9</x:v>
      </x:c>
      <x:c r="B12" s="3" t="s">
        <x:v>115</x:v>
      </x:c>
      <x:c r="C12" s="4" t="n">
        <x:f>Parametri!$B$5</x:f>
        <x:v>25</x:v>
      </x:c>
      <x:c r="D12" s="4">
        <x:v>25</x:v>
      </x:c>
      <x:c r="E12" s="4">
        <x:f t="shared" si="0"/>
        <x:v>0</x:v>
      </x:c>
      <x:c r="F12" s="3" t="str">
        <x:f t="shared" si="1"/>
        <x:v>Pagata</x:v>
      </x:c>
      <x:c r="G12" s="8" t="s">
        <x:v>101</x:v>
      </x:c>
      <x:c r="H12" s="3" t="s">
        <x:v>105</x:v>
      </x:c>
      <x:c r="I12" s="3"/>
    </x:row>
    <x:row r="13">
      <x:c r="A13" s="3">
        <x:v>10</x:v>
      </x:c>
      <x:c r="B13" s="3" t="s">
        <x:v>116</x:v>
      </x:c>
      <x:c r="C13" s="4" t="n">
        <x:f>Parametri!$B$5</x:f>
        <x:v>25</x:v>
      </x:c>
      <x:c r="D13" s="4">
        <x:v>25</x:v>
      </x:c>
      <x:c r="E13" s="4">
        <x:f t="shared" si="0"/>
        <x:v>0</x:v>
      </x:c>
      <x:c r="F13" s="3" t="str">
        <x:f t="shared" si="1"/>
        <x:v>Pagata</x:v>
      </x:c>
      <x:c r="G13" s="8" t="s">
        <x:v>101</x:v>
      </x:c>
      <x:c r="H13" s="3" t="s">
        <x:v>105</x:v>
      </x:c>
      <x:c r="I13" s="3"/>
    </x:row>
    <x:row r="14">
      <x:c r="A14" s="3">
        <x:v>11</x:v>
      </x:c>
      <x:c r="B14" s="3" t="s">
        <x:v>117</x:v>
      </x:c>
      <x:c r="C14" s="4" t="n">
        <x:f>Parametri!$B$5</x:f>
        <x:v>25</x:v>
      </x:c>
      <x:c r="D14" s="4">
        <x:v>25</x:v>
      </x:c>
      <x:c r="E14" s="4">
        <x:f t="shared" si="0"/>
        <x:v>0</x:v>
      </x:c>
      <x:c r="F14" s="3" t="str">
        <x:f t="shared" si="1"/>
        <x:v>Pagata</x:v>
      </x:c>
      <x:c r="G14" s="8" t="s">
        <x:v>101</x:v>
      </x:c>
      <x:c r="H14" s="3" t="s">
        <x:v>105</x:v>
      </x:c>
      <x:c r="I14" s="3"/>
    </x:row>
    <x:row r="15">
      <x:c r="A15" s="3">
        <x:v>12</x:v>
      </x:c>
      <x:c r="B15" s="3" t="s">
        <x:v>118</x:v>
      </x:c>
      <x:c r="C15" s="4" t="n">
        <x:f>Parametri!$B$5</x:f>
        <x:v>25</x:v>
      </x:c>
      <x:c r="D15" s="4">
        <x:v>25</x:v>
      </x:c>
      <x:c r="E15" s="4">
        <x:f t="shared" si="0"/>
        <x:v>0</x:v>
      </x:c>
      <x:c r="F15" s="3" t="str">
        <x:f t="shared" si="1"/>
        <x:v>Pagata</x:v>
      </x:c>
      <x:c r="G15" s="8" t="s">
        <x:v>101</x:v>
      </x:c>
      <x:c r="H15" s="3" t="s">
        <x:v>105</x:v>
      </x:c>
      <x:c r="I15" s="3"/>
    </x:row>
    <x:row r="16">
      <x:c r="A16" s="3">
        <x:v>13</x:v>
      </x:c>
      <x:c r="B16" s="3" t="s">
        <x:v>119</x:v>
      </x:c>
      <x:c r="C16" s="4" t="n">
        <x:f>Parametri!$B$5</x:f>
        <x:v>25</x:v>
      </x:c>
      <x:c r="D16" s="4">
        <x:v>25</x:v>
      </x:c>
      <x:c r="E16" s="4">
        <x:f t="shared" si="0"/>
        <x:v>0</x:v>
      </x:c>
      <x:c r="F16" s="3" t="str">
        <x:f t="shared" si="1"/>
        <x:v>Pagata</x:v>
      </x:c>
      <x:c r="G16" s="8" t="s">
        <x:v>120</x:v>
      </x:c>
      <x:c r="H16" s="3" t="s">
        <x:v>102</x:v>
      </x:c>
      <x:c r="I16" s="3"/>
    </x:row>
    <x:row r="17">
      <x:c r="A17" s="3">
        <x:v>14</x:v>
      </x:c>
      <x:c r="B17" s="3" t="s">
        <x:v>121</x:v>
      </x:c>
      <x:c r="C17" s="4" t="n">
        <x:f>Parametri!$B$5</x:f>
        <x:v>25</x:v>
      </x:c>
      <x:c r="D17" s="4">
        <x:v>25</x:v>
      </x:c>
      <x:c r="E17" s="4">
        <x:f t="shared" si="0"/>
        <x:v>0</x:v>
      </x:c>
      <x:c r="F17" s="3" t="str">
        <x:f t="shared" si="1"/>
        <x:v>Pagata</x:v>
      </x:c>
      <x:c r="G17" s="8" t="s">
        <x:v>122</x:v>
      </x:c>
      <x:c r="H17" s="3" t="s">
        <x:v>105</x:v>
      </x:c>
      <x:c r="I17" s="3"/>
    </x:row>
    <x:row r="18">
      <x:c r="A18" s="3">
        <x:v>15</x:v>
      </x:c>
      <x:c r="B18" s="3" t="s">
        <x:v>123</x:v>
      </x:c>
      <x:c r="C18" s="4" t="n">
        <x:f>Parametri!$B$5</x:f>
        <x:v>25</x:v>
      </x:c>
      <x:c r="D18" s="4">
        <x:v>25</x:v>
      </x:c>
      <x:c r="E18" s="4">
        <x:f t="shared" si="0"/>
        <x:v>0</x:v>
      </x:c>
      <x:c r="F18" s="3" t="str">
        <x:f t="shared" si="1"/>
        <x:v>Pagata</x:v>
      </x:c>
      <x:c r="G18" s="8" t="s">
        <x:v>120</x:v>
      </x:c>
      <x:c r="H18" s="3" t="s">
        <x:v>105</x:v>
      </x:c>
      <x:c r="I18" s="3"/>
    </x:row>
  </x:sheetData>
  <x:mergeCells>
    <x:mergeCell ref="A1:I1"/>
  </x:mergeCells>
  <x:conditionalFormatting sqref="F4:F18">
    <x:cfRule type="expression" dxfId="16" priority="1">
      <x:formula>F4="Pagata"</x:formula>
    </x:cfRule>
    <x:cfRule type="expression" dxfId="15" priority="2">
      <x:formula>F4="Da pagare"</x:formula>
    </x:cfRule>
    <x:cfRule type="expression" dxfId="14" priority="3">
      <x:formula>F4="Parziale"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7922a4f70bf4b27"/>
  </x:tableParts>
</x:worksheet>
</file>

<file path=xl/worksheets/sheet5.xml><?xml version="1.0" encoding="utf-8"?>
<x:worksheet xmlns:x="http://schemas.openxmlformats.org/spreadsheetml/2006/main">
  <x:sheetFormatPr baseColWidth="10" defaultColWidth="8.83203125" defaultRowHeight="15"/>
  <x:cols>
    <x:col min="1" max="1" width="14" style="1" customWidth="1"/>
    <x:col min="2" max="2" width="22" style="1" customWidth="1"/>
    <x:col min="3" max="3" width="34" style="1" customWidth="1"/>
    <x:col min="4" max="4" width="12" style="1" customWidth="1"/>
    <x:col min="5" max="6" width="14" style="1" customWidth="1"/>
    <x:col min="7" max="8" width="18" style="1" customWidth="1"/>
    <x:col min="9" max="9" width="36" style="1" customWidth="1"/>
    <x:col min="10" max="16384" width="8.83203125" style="1" customWidth="0"/>
  </x:cols>
  <x:sheetData>
    <x:row r="1" ht="37.25" customHeight="1">
      <x:c r="A1" s="14" t="s">
        <x:v>124</x:v>
      </x:c>
      <x:c r="B1" s="15"/>
      <x:c r="C1" s="15"/>
      <x:c r="D1" s="15"/>
      <x:c r="E1" s="15"/>
      <x:c r="F1" s="15"/>
      <x:c r="G1" s="15"/>
      <x:c r="H1" s="15"/>
      <x:c r="I1" s="15"/>
    </x:row>
    <x:row r="3" ht="32" customHeight="1">
      <x:c r="A3" s="2" t="s">
        <x:v>125</x:v>
      </x:c>
      <x:c r="B3" s="2" t="s">
        <x:v>126</x:v>
      </x:c>
      <x:c r="C3" s="2" t="s">
        <x:v>127</x:v>
      </x:c>
      <x:c r="D3" s="2" t="s">
        <x:v>128</x:v>
      </x:c>
      <x:c r="E3" s="2" t="s">
        <x:v>129</x:v>
      </x:c>
      <x:c r="F3" s="2" t="s">
        <x:v>130</x:v>
      </x:c>
      <x:c r="G3" s="2" t="s">
        <x:v>131</x:v>
      </x:c>
      <x:c r="H3" s="2" t="s">
        <x:v>132</x:v>
      </x:c>
      <x:c r="I3" s="2" t="s">
        <x:v>15</x:v>
      </x:c>
    </x:row>
    <x:row r="4">
      <x:c r="A4" s="8" t="s">
        <x:v>101</x:v>
      </x:c>
      <x:c r="B4" s="3" t="s">
        <x:v>133</x:v>
      </x:c>
      <x:c r="C4" s="3" t="s">
        <x:v>134</x:v>
      </x:c>
      <x:c r="D4" s="5">
        <x:v>200</x:v>
      </x:c>
      <x:c r="E4" s="4" t="n">
        <x:f>IF(D4&gt;0,Parametri!$B$6,"")</x:f>
        <x:v>2.7</x:v>
      </x:c>
      <x:c r="F4" s="4" t="n">
        <x:f t="shared" ref="F4:F35" si="0">IF(OR(D4="",E4=""),"",D4*E4)</x:f>
        <x:v>540</x:v>
      </x:c>
      <x:c r="G4" s="3" t="s">
        <x:v>100</x:v>
      </x:c>
      <x:c r="H4" s="3" t="s">
        <x:v>135</x:v>
      </x:c>
      <x:c r="I4" s="3" t="s">
        <x:v>136</x:v>
      </x:c>
    </x:row>
    <x:row r="5">
      <x:c r="A5" s="8"/>
      <x:c r="B5" s="3"/>
      <x:c r="C5" s="3"/>
      <x:c r="D5" s="5"/>
      <x:c r="E5" s="4" t="str">
        <x:f>IF(D5&gt;0,Parametri!$B$6,"")</x:f>
      </x:c>
      <x:c r="F5" s="4" t="str">
        <x:f t="shared" si="0"/>
      </x:c>
      <x:c r="G5" s="3"/>
      <x:c r="H5" s="3" t="s">
        <x:v>137</x:v>
      </x:c>
      <x:c r="I5" s="3"/>
    </x:row>
    <x:row r="6">
      <x:c r="A6" s="8"/>
      <x:c r="B6" s="3"/>
      <x:c r="C6" s="3"/>
      <x:c r="D6" s="5"/>
      <x:c r="E6" s="4" t="str">
        <x:f>IF(D6&gt;0,Parametri!$B$6,"")</x:f>
      </x:c>
      <x:c r="F6" s="4" t="str">
        <x:f t="shared" si="0"/>
      </x:c>
      <x:c r="G6" s="3"/>
      <x:c r="H6" s="3" t="s">
        <x:v>137</x:v>
      </x:c>
      <x:c r="I6" s="3"/>
    </x:row>
    <x:row r="7">
      <x:c r="A7" s="8"/>
      <x:c r="B7" s="3"/>
      <x:c r="C7" s="3"/>
      <x:c r="D7" s="5"/>
      <x:c r="E7" s="4" t="str">
        <x:f>IF(D7&gt;0,Parametri!$B$6,"")</x:f>
      </x:c>
      <x:c r="F7" s="4" t="str">
        <x:f t="shared" si="0"/>
      </x:c>
      <x:c r="G7" s="3"/>
      <x:c r="H7" s="3" t="s">
        <x:v>137</x:v>
      </x:c>
      <x:c r="I7" s="3"/>
    </x:row>
    <x:row r="8">
      <x:c r="A8" s="8"/>
      <x:c r="B8" s="3"/>
      <x:c r="C8" s="3"/>
      <x:c r="D8" s="5"/>
      <x:c r="E8" s="4" t="str">
        <x:f>IF(D8&gt;0,Parametri!$B$6,"")</x:f>
      </x:c>
      <x:c r="F8" s="4" t="str">
        <x:f t="shared" si="0"/>
      </x:c>
      <x:c r="G8" s="3"/>
      <x:c r="H8" s="3" t="s">
        <x:v>137</x:v>
      </x:c>
      <x:c r="I8" s="3"/>
    </x:row>
    <x:row r="9">
      <x:c r="A9" s="8"/>
      <x:c r="B9" s="3"/>
      <x:c r="C9" s="3"/>
      <x:c r="D9" s="5"/>
      <x:c r="E9" s="4" t="str">
        <x:f>IF(D9&gt;0,Parametri!$B$6,"")</x:f>
      </x:c>
      <x:c r="F9" s="4" t="str">
        <x:f t="shared" si="0"/>
      </x:c>
      <x:c r="G9" s="3"/>
      <x:c r="H9" s="3" t="s">
        <x:v>137</x:v>
      </x:c>
      <x:c r="I9" s="3"/>
    </x:row>
    <x:row r="10">
      <x:c r="A10" s="8"/>
      <x:c r="B10" s="3"/>
      <x:c r="C10" s="3"/>
      <x:c r="D10" s="5"/>
      <x:c r="E10" s="4" t="str">
        <x:f>IF(D10&gt;0,Parametri!$B$6,"")</x:f>
      </x:c>
      <x:c r="F10" s="4" t="str">
        <x:f t="shared" si="0"/>
      </x:c>
      <x:c r="G10" s="3"/>
      <x:c r="H10" s="3" t="s">
        <x:v>137</x:v>
      </x:c>
      <x:c r="I10" s="3"/>
    </x:row>
    <x:row r="11">
      <x:c r="A11" s="8"/>
      <x:c r="B11" s="3"/>
      <x:c r="C11" s="3"/>
      <x:c r="D11" s="5"/>
      <x:c r="E11" s="4" t="str">
        <x:f>IF(D11&gt;0,Parametri!$B$6,"")</x:f>
      </x:c>
      <x:c r="F11" s="4" t="str">
        <x:f t="shared" si="0"/>
      </x:c>
      <x:c r="G11" s="3"/>
      <x:c r="H11" s="3" t="s">
        <x:v>137</x:v>
      </x:c>
      <x:c r="I11" s="3"/>
    </x:row>
    <x:row r="12">
      <x:c r="A12" s="8"/>
      <x:c r="B12" s="3"/>
      <x:c r="C12" s="3"/>
      <x:c r="D12" s="5"/>
      <x:c r="E12" s="4" t="str">
        <x:f>IF(D12&gt;0,Parametri!$B$6,"")</x:f>
      </x:c>
      <x:c r="F12" s="4" t="str">
        <x:f t="shared" si="0"/>
      </x:c>
      <x:c r="G12" s="3"/>
      <x:c r="H12" s="3" t="s">
        <x:v>137</x:v>
      </x:c>
      <x:c r="I12" s="3"/>
    </x:row>
    <x:row r="13">
      <x:c r="A13" s="8"/>
      <x:c r="B13" s="3"/>
      <x:c r="C13" s="3"/>
      <x:c r="D13" s="5"/>
      <x:c r="E13" s="4" t="str">
        <x:f>IF(D13&gt;0,Parametri!$B$6,"")</x:f>
      </x:c>
      <x:c r="F13" s="4" t="str">
        <x:f t="shared" si="0"/>
      </x:c>
      <x:c r="G13" s="3"/>
      <x:c r="H13" s="3" t="s">
        <x:v>137</x:v>
      </x:c>
      <x:c r="I13" s="3"/>
    </x:row>
    <x:row r="14">
      <x:c r="A14" s="8"/>
      <x:c r="B14" s="3"/>
      <x:c r="C14" s="3"/>
      <x:c r="D14" s="5"/>
      <x:c r="E14" s="4" t="str">
        <x:f>IF(D14&gt;0,Parametri!$B$6,"")</x:f>
      </x:c>
      <x:c r="F14" s="4" t="str">
        <x:f t="shared" si="0"/>
      </x:c>
      <x:c r="G14" s="3"/>
      <x:c r="H14" s="3" t="s">
        <x:v>137</x:v>
      </x:c>
      <x:c r="I14" s="3"/>
    </x:row>
    <x:row r="15">
      <x:c r="A15" s="8"/>
      <x:c r="B15" s="3"/>
      <x:c r="C15" s="3"/>
      <x:c r="D15" s="5"/>
      <x:c r="E15" s="4" t="str">
        <x:f>IF(D15&gt;0,Parametri!$B$6,"")</x:f>
      </x:c>
      <x:c r="F15" s="4" t="str">
        <x:f t="shared" si="0"/>
      </x:c>
      <x:c r="G15" s="3"/>
      <x:c r="H15" s="3" t="s">
        <x:v>137</x:v>
      </x:c>
      <x:c r="I15" s="3"/>
    </x:row>
    <x:row r="16">
      <x:c r="A16" s="8"/>
      <x:c r="B16" s="3"/>
      <x:c r="C16" s="3"/>
      <x:c r="D16" s="5"/>
      <x:c r="E16" s="4" t="str">
        <x:f>IF(D16&gt;0,Parametri!$B$6,"")</x:f>
      </x:c>
      <x:c r="F16" s="4" t="str">
        <x:f t="shared" si="0"/>
      </x:c>
      <x:c r="G16" s="3"/>
      <x:c r="H16" s="3" t="s">
        <x:v>137</x:v>
      </x:c>
      <x:c r="I16" s="3"/>
    </x:row>
    <x:row r="17">
      <x:c r="A17" s="8"/>
      <x:c r="B17" s="3"/>
      <x:c r="C17" s="3"/>
      <x:c r="D17" s="5"/>
      <x:c r="E17" s="4" t="str">
        <x:f>IF(D17&gt;0,Parametri!$B$6,"")</x:f>
      </x:c>
      <x:c r="F17" s="4" t="str">
        <x:f t="shared" si="0"/>
      </x:c>
      <x:c r="G17" s="3"/>
      <x:c r="H17" s="3" t="s">
        <x:v>137</x:v>
      </x:c>
      <x:c r="I17" s="3"/>
    </x:row>
    <x:row r="18">
      <x:c r="A18" s="8"/>
      <x:c r="B18" s="3"/>
      <x:c r="C18" s="3"/>
      <x:c r="D18" s="5"/>
      <x:c r="E18" s="4" t="str">
        <x:f>IF(D18&gt;0,Parametri!$B$6,"")</x:f>
      </x:c>
      <x:c r="F18" s="4" t="str">
        <x:f t="shared" si="0"/>
      </x:c>
      <x:c r="G18" s="3"/>
      <x:c r="H18" s="3" t="s">
        <x:v>137</x:v>
      </x:c>
      <x:c r="I18" s="3"/>
    </x:row>
    <x:row r="19">
      <x:c r="A19" s="8"/>
      <x:c r="B19" s="3"/>
      <x:c r="C19" s="3"/>
      <x:c r="D19" s="5"/>
      <x:c r="E19" s="4" t="str">
        <x:f>IF(D19&gt;0,Parametri!$B$6,"")</x:f>
      </x:c>
      <x:c r="F19" s="4" t="str">
        <x:f t="shared" si="0"/>
      </x:c>
      <x:c r="G19" s="3"/>
      <x:c r="H19" s="3" t="s">
        <x:v>137</x:v>
      </x:c>
      <x:c r="I19" s="3"/>
    </x:row>
    <x:row r="20">
      <x:c r="A20" s="8"/>
      <x:c r="B20" s="3"/>
      <x:c r="C20" s="3"/>
      <x:c r="D20" s="5"/>
      <x:c r="E20" s="4" t="str">
        <x:f>IF(D20&gt;0,Parametri!$B$6,"")</x:f>
      </x:c>
      <x:c r="F20" s="4" t="str">
        <x:f t="shared" si="0"/>
      </x:c>
      <x:c r="G20" s="3"/>
      <x:c r="H20" s="3" t="s">
        <x:v>137</x:v>
      </x:c>
      <x:c r="I20" s="3"/>
    </x:row>
    <x:row r="21">
      <x:c r="A21" s="8"/>
      <x:c r="B21" s="3"/>
      <x:c r="C21" s="3"/>
      <x:c r="D21" s="5"/>
      <x:c r="E21" s="4" t="str">
        <x:f>IF(D21&gt;0,Parametri!$B$6,"")</x:f>
      </x:c>
      <x:c r="F21" s="4" t="str">
        <x:f t="shared" si="0"/>
      </x:c>
      <x:c r="G21" s="3"/>
      <x:c r="H21" s="3" t="s">
        <x:v>137</x:v>
      </x:c>
      <x:c r="I21" s="3"/>
    </x:row>
    <x:row r="22">
      <x:c r="A22" s="8"/>
      <x:c r="B22" s="3"/>
      <x:c r="C22" s="3"/>
      <x:c r="D22" s="5"/>
      <x:c r="E22" s="4" t="str">
        <x:f>IF(D22&gt;0,Parametri!$B$6,"")</x:f>
      </x:c>
      <x:c r="F22" s="4" t="str">
        <x:f t="shared" si="0"/>
      </x:c>
      <x:c r="G22" s="3"/>
      <x:c r="H22" s="3" t="s">
        <x:v>137</x:v>
      </x:c>
      <x:c r="I22" s="3"/>
    </x:row>
    <x:row r="23">
      <x:c r="A23" s="8"/>
      <x:c r="B23" s="3"/>
      <x:c r="C23" s="3"/>
      <x:c r="D23" s="5"/>
      <x:c r="E23" s="4" t="str">
        <x:f>IF(D23&gt;0,Parametri!$B$6,"")</x:f>
      </x:c>
      <x:c r="F23" s="4" t="str">
        <x:f t="shared" si="0"/>
      </x:c>
      <x:c r="G23" s="3"/>
      <x:c r="H23" s="3" t="s">
        <x:v>137</x:v>
      </x:c>
      <x:c r="I23" s="3"/>
    </x:row>
    <x:row r="24">
      <x:c r="A24" s="8"/>
      <x:c r="B24" s="3"/>
      <x:c r="C24" s="3"/>
      <x:c r="D24" s="5"/>
      <x:c r="E24" s="4" t="str">
        <x:f>IF(D24&gt;0,Parametri!$B$6,"")</x:f>
      </x:c>
      <x:c r="F24" s="4" t="str">
        <x:f t="shared" si="0"/>
      </x:c>
      <x:c r="G24" s="3"/>
      <x:c r="H24" s="3" t="s">
        <x:v>137</x:v>
      </x:c>
      <x:c r="I24" s="3"/>
    </x:row>
    <x:row r="25">
      <x:c r="A25" s="8"/>
      <x:c r="B25" s="3"/>
      <x:c r="C25" s="3"/>
      <x:c r="D25" s="5"/>
      <x:c r="E25" s="4" t="str">
        <x:f>IF(D25&gt;0,Parametri!$B$6,"")</x:f>
      </x:c>
      <x:c r="F25" s="4" t="str">
        <x:f t="shared" si="0"/>
      </x:c>
      <x:c r="G25" s="3"/>
      <x:c r="H25" s="3" t="s">
        <x:v>137</x:v>
      </x:c>
      <x:c r="I25" s="3"/>
    </x:row>
    <x:row r="26">
      <x:c r="A26" s="8"/>
      <x:c r="B26" s="3"/>
      <x:c r="C26" s="3"/>
      <x:c r="D26" s="5"/>
      <x:c r="E26" s="4" t="str">
        <x:f>IF(D26&gt;0,Parametri!$B$6,"")</x:f>
      </x:c>
      <x:c r="F26" s="4" t="str">
        <x:f t="shared" si="0"/>
      </x:c>
      <x:c r="G26" s="3"/>
      <x:c r="H26" s="3" t="s">
        <x:v>137</x:v>
      </x:c>
      <x:c r="I26" s="3"/>
    </x:row>
    <x:row r="27">
      <x:c r="A27" s="8"/>
      <x:c r="B27" s="3"/>
      <x:c r="C27" s="3"/>
      <x:c r="D27" s="5"/>
      <x:c r="E27" s="4" t="str">
        <x:f>IF(D27&gt;0,Parametri!$B$6,"")</x:f>
      </x:c>
      <x:c r="F27" s="4" t="str">
        <x:f t="shared" si="0"/>
      </x:c>
      <x:c r="G27" s="3"/>
      <x:c r="H27" s="3" t="s">
        <x:v>137</x:v>
      </x:c>
      <x:c r="I27" s="3"/>
    </x:row>
    <x:row r="28">
      <x:c r="A28" s="8"/>
      <x:c r="B28" s="3"/>
      <x:c r="C28" s="3"/>
      <x:c r="D28" s="5"/>
      <x:c r="E28" s="4" t="str">
        <x:f>IF(D28&gt;0,Parametri!$B$6,"")</x:f>
      </x:c>
      <x:c r="F28" s="4" t="str">
        <x:f t="shared" si="0"/>
      </x:c>
      <x:c r="G28" s="3"/>
      <x:c r="H28" s="3" t="s">
        <x:v>137</x:v>
      </x:c>
      <x:c r="I28" s="3"/>
    </x:row>
    <x:row r="29">
      <x:c r="A29" s="8"/>
      <x:c r="B29" s="3"/>
      <x:c r="C29" s="3"/>
      <x:c r="D29" s="5"/>
      <x:c r="E29" s="4" t="str">
        <x:f>IF(D29&gt;0,Parametri!$B$6,"")</x:f>
      </x:c>
      <x:c r="F29" s="4" t="str">
        <x:f t="shared" si="0"/>
      </x:c>
      <x:c r="G29" s="3"/>
      <x:c r="H29" s="3" t="s">
        <x:v>137</x:v>
      </x:c>
      <x:c r="I29" s="3"/>
    </x:row>
    <x:row r="30">
      <x:c r="A30" s="8"/>
      <x:c r="B30" s="3"/>
      <x:c r="C30" s="3"/>
      <x:c r="D30" s="5"/>
      <x:c r="E30" s="4" t="str">
        <x:f>IF(D30&gt;0,Parametri!$B$6,"")</x:f>
      </x:c>
      <x:c r="F30" s="4" t="str">
        <x:f t="shared" si="0"/>
      </x:c>
      <x:c r="G30" s="3"/>
      <x:c r="H30" s="3" t="s">
        <x:v>137</x:v>
      </x:c>
      <x:c r="I30" s="3"/>
    </x:row>
    <x:row r="31">
      <x:c r="A31" s="8"/>
      <x:c r="B31" s="3"/>
      <x:c r="C31" s="3"/>
      <x:c r="D31" s="5"/>
      <x:c r="E31" s="4" t="str">
        <x:f>IF(D31&gt;0,Parametri!$B$6,"")</x:f>
      </x:c>
      <x:c r="F31" s="4" t="str">
        <x:f t="shared" si="0"/>
      </x:c>
      <x:c r="G31" s="3"/>
      <x:c r="H31" s="3" t="s">
        <x:v>137</x:v>
      </x:c>
      <x:c r="I31" s="3"/>
    </x:row>
    <x:row r="32">
      <x:c r="A32" s="8"/>
      <x:c r="B32" s="3"/>
      <x:c r="C32" s="3"/>
      <x:c r="D32" s="5"/>
      <x:c r="E32" s="4" t="str">
        <x:f>IF(D32&gt;0,Parametri!$B$6,"")</x:f>
      </x:c>
      <x:c r="F32" s="4" t="str">
        <x:f t="shared" si="0"/>
      </x:c>
      <x:c r="G32" s="3"/>
      <x:c r="H32" s="3" t="s">
        <x:v>137</x:v>
      </x:c>
      <x:c r="I32" s="3"/>
    </x:row>
    <x:row r="33">
      <x:c r="A33" s="8"/>
      <x:c r="B33" s="3"/>
      <x:c r="C33" s="3"/>
      <x:c r="D33" s="5"/>
      <x:c r="E33" s="4" t="str">
        <x:f>IF(D33&gt;0,Parametri!$B$6,"")</x:f>
      </x:c>
      <x:c r="F33" s="4" t="str">
        <x:f t="shared" si="0"/>
      </x:c>
      <x:c r="G33" s="3"/>
      <x:c r="H33" s="3" t="s">
        <x:v>137</x:v>
      </x:c>
      <x:c r="I33" s="3"/>
    </x:row>
    <x:row r="34">
      <x:c r="A34" s="8"/>
      <x:c r="B34" s="3"/>
      <x:c r="C34" s="3"/>
      <x:c r="D34" s="5"/>
      <x:c r="E34" s="4" t="str">
        <x:f>IF(D34&gt;0,Parametri!$B$6,"")</x:f>
      </x:c>
      <x:c r="F34" s="4" t="str">
        <x:f t="shared" si="0"/>
      </x:c>
      <x:c r="G34" s="3"/>
      <x:c r="H34" s="3" t="s">
        <x:v>137</x:v>
      </x:c>
      <x:c r="I34" s="3"/>
    </x:row>
    <x:row r="35">
      <x:c r="A35" s="8"/>
      <x:c r="B35" s="3"/>
      <x:c r="C35" s="3"/>
      <x:c r="D35" s="5"/>
      <x:c r="E35" s="4" t="str">
        <x:f>IF(D35&gt;0,Parametri!$B$6,"")</x:f>
      </x:c>
      <x:c r="F35" s="4" t="str">
        <x:f t="shared" si="0"/>
      </x:c>
      <x:c r="G35" s="3"/>
      <x:c r="H35" s="3" t="s">
        <x:v>137</x:v>
      </x:c>
      <x:c r="I35" s="3"/>
    </x:row>
    <x:row r="36">
      <x:c r="A36" s="8"/>
      <x:c r="B36" s="3"/>
      <x:c r="C36" s="3"/>
      <x:c r="D36" s="5"/>
      <x:c r="E36" s="4" t="str">
        <x:f>IF(D36&gt;0,Parametri!$B$6,"")</x:f>
      </x:c>
      <x:c r="F36" s="4" t="str">
        <x:f t="shared" ref="F36:F67" si="1">IF(OR(D36="",E36=""),"",D36*E36)</x:f>
      </x:c>
      <x:c r="G36" s="3"/>
      <x:c r="H36" s="3" t="s">
        <x:v>137</x:v>
      </x:c>
      <x:c r="I36" s="3"/>
    </x:row>
    <x:row r="37">
      <x:c r="A37" s="8"/>
      <x:c r="B37" s="3"/>
      <x:c r="C37" s="3"/>
      <x:c r="D37" s="5"/>
      <x:c r="E37" s="4" t="str">
        <x:f>IF(D37&gt;0,Parametri!$B$6,"")</x:f>
      </x:c>
      <x:c r="F37" s="4" t="str">
        <x:f t="shared" si="1"/>
      </x:c>
      <x:c r="G37" s="3"/>
      <x:c r="H37" s="3" t="s">
        <x:v>137</x:v>
      </x:c>
      <x:c r="I37" s="3"/>
    </x:row>
    <x:row r="38">
      <x:c r="A38" s="8"/>
      <x:c r="B38" s="3"/>
      <x:c r="C38" s="3"/>
      <x:c r="D38" s="5"/>
      <x:c r="E38" s="4" t="str">
        <x:f>IF(D38&gt;0,Parametri!$B$6,"")</x:f>
      </x:c>
      <x:c r="F38" s="4" t="str">
        <x:f t="shared" si="1"/>
      </x:c>
      <x:c r="G38" s="3"/>
      <x:c r="H38" s="3" t="s">
        <x:v>137</x:v>
      </x:c>
      <x:c r="I38" s="3"/>
    </x:row>
    <x:row r="39">
      <x:c r="A39" s="8"/>
      <x:c r="B39" s="3"/>
      <x:c r="C39" s="3"/>
      <x:c r="D39" s="5"/>
      <x:c r="E39" s="4" t="str">
        <x:f>IF(D39&gt;0,Parametri!$B$6,"")</x:f>
      </x:c>
      <x:c r="F39" s="4" t="str">
        <x:f t="shared" si="1"/>
      </x:c>
      <x:c r="G39" s="3"/>
      <x:c r="H39" s="3" t="s">
        <x:v>137</x:v>
      </x:c>
      <x:c r="I39" s="3"/>
    </x:row>
    <x:row r="40">
      <x:c r="A40" s="8"/>
      <x:c r="B40" s="3"/>
      <x:c r="C40" s="3"/>
      <x:c r="D40" s="5"/>
      <x:c r="E40" s="4" t="str">
        <x:f>IF(D40&gt;0,Parametri!$B$6,"")</x:f>
      </x:c>
      <x:c r="F40" s="4" t="str">
        <x:f t="shared" si="1"/>
      </x:c>
      <x:c r="G40" s="3"/>
      <x:c r="H40" s="3" t="s">
        <x:v>137</x:v>
      </x:c>
      <x:c r="I40" s="3"/>
    </x:row>
    <x:row r="41">
      <x:c r="A41" s="8"/>
      <x:c r="B41" s="3"/>
      <x:c r="C41" s="3"/>
      <x:c r="D41" s="5"/>
      <x:c r="E41" s="4" t="str">
        <x:f>IF(D41&gt;0,Parametri!$B$6,"")</x:f>
      </x:c>
      <x:c r="F41" s="4" t="str">
        <x:f t="shared" si="1"/>
      </x:c>
      <x:c r="G41" s="3"/>
      <x:c r="H41" s="3" t="s">
        <x:v>137</x:v>
      </x:c>
      <x:c r="I41" s="3"/>
    </x:row>
    <x:row r="42">
      <x:c r="A42" s="8"/>
      <x:c r="B42" s="3"/>
      <x:c r="C42" s="3"/>
      <x:c r="D42" s="5"/>
      <x:c r="E42" s="4" t="str">
        <x:f>IF(D42&gt;0,Parametri!$B$6,"")</x:f>
      </x:c>
      <x:c r="F42" s="4" t="str">
        <x:f t="shared" si="1"/>
      </x:c>
      <x:c r="G42" s="3"/>
      <x:c r="H42" s="3" t="s">
        <x:v>137</x:v>
      </x:c>
      <x:c r="I42" s="3"/>
    </x:row>
    <x:row r="43">
      <x:c r="A43" s="8"/>
      <x:c r="B43" s="3"/>
      <x:c r="C43" s="3"/>
      <x:c r="D43" s="5"/>
      <x:c r="E43" s="4" t="str">
        <x:f>IF(D43&gt;0,Parametri!$B$6,"")</x:f>
      </x:c>
      <x:c r="F43" s="4" t="str">
        <x:f t="shared" si="1"/>
      </x:c>
      <x:c r="G43" s="3"/>
      <x:c r="H43" s="3" t="s">
        <x:v>137</x:v>
      </x:c>
      <x:c r="I43" s="3"/>
    </x:row>
    <x:row r="44">
      <x:c r="A44" s="8"/>
      <x:c r="B44" s="3"/>
      <x:c r="C44" s="3"/>
      <x:c r="D44" s="5"/>
      <x:c r="E44" s="4" t="str">
        <x:f>IF(D44&gt;0,Parametri!$B$6,"")</x:f>
      </x:c>
      <x:c r="F44" s="4" t="str">
        <x:f t="shared" si="1"/>
      </x:c>
      <x:c r="G44" s="3"/>
      <x:c r="H44" s="3" t="s">
        <x:v>137</x:v>
      </x:c>
      <x:c r="I44" s="3"/>
    </x:row>
    <x:row r="45">
      <x:c r="A45" s="8"/>
      <x:c r="B45" s="3"/>
      <x:c r="C45" s="3"/>
      <x:c r="D45" s="5"/>
      <x:c r="E45" s="4" t="str">
        <x:f>IF(D45&gt;0,Parametri!$B$6,"")</x:f>
      </x:c>
      <x:c r="F45" s="4" t="str">
        <x:f t="shared" si="1"/>
      </x:c>
      <x:c r="G45" s="3"/>
      <x:c r="H45" s="3" t="s">
        <x:v>137</x:v>
      </x:c>
      <x:c r="I45" s="3"/>
    </x:row>
    <x:row r="46">
      <x:c r="A46" s="8"/>
      <x:c r="B46" s="3"/>
      <x:c r="C46" s="3"/>
      <x:c r="D46" s="5"/>
      <x:c r="E46" s="4" t="str">
        <x:f>IF(D46&gt;0,Parametri!$B$6,"")</x:f>
      </x:c>
      <x:c r="F46" s="4" t="str">
        <x:f t="shared" si="1"/>
      </x:c>
      <x:c r="G46" s="3"/>
      <x:c r="H46" s="3" t="s">
        <x:v>137</x:v>
      </x:c>
      <x:c r="I46" s="3"/>
    </x:row>
    <x:row r="47">
      <x:c r="A47" s="8"/>
      <x:c r="B47" s="3"/>
      <x:c r="C47" s="3"/>
      <x:c r="D47" s="5"/>
      <x:c r="E47" s="4" t="str">
        <x:f>IF(D47&gt;0,Parametri!$B$6,"")</x:f>
      </x:c>
      <x:c r="F47" s="4" t="str">
        <x:f t="shared" si="1"/>
      </x:c>
      <x:c r="G47" s="3"/>
      <x:c r="H47" s="3" t="s">
        <x:v>137</x:v>
      </x:c>
      <x:c r="I47" s="3"/>
    </x:row>
    <x:row r="48">
      <x:c r="A48" s="8"/>
      <x:c r="B48" s="3"/>
      <x:c r="C48" s="3"/>
      <x:c r="D48" s="5"/>
      <x:c r="E48" s="4" t="str">
        <x:f>IF(D48&gt;0,Parametri!$B$6,"")</x:f>
      </x:c>
      <x:c r="F48" s="4" t="str">
        <x:f t="shared" si="1"/>
      </x:c>
      <x:c r="G48" s="3"/>
      <x:c r="H48" s="3" t="s">
        <x:v>137</x:v>
      </x:c>
      <x:c r="I48" s="3"/>
    </x:row>
    <x:row r="49">
      <x:c r="A49" s="8"/>
      <x:c r="B49" s="3"/>
      <x:c r="C49" s="3"/>
      <x:c r="D49" s="5"/>
      <x:c r="E49" s="4" t="str">
        <x:f>IF(D49&gt;0,Parametri!$B$6,"")</x:f>
      </x:c>
      <x:c r="F49" s="4" t="str">
        <x:f t="shared" si="1"/>
      </x:c>
      <x:c r="G49" s="3"/>
      <x:c r="H49" s="3" t="s">
        <x:v>137</x:v>
      </x:c>
      <x:c r="I49" s="3"/>
    </x:row>
    <x:row r="50">
      <x:c r="A50" s="8"/>
      <x:c r="B50" s="3"/>
      <x:c r="C50" s="3"/>
      <x:c r="D50" s="5"/>
      <x:c r="E50" s="4" t="str">
        <x:f>IF(D50&gt;0,Parametri!$B$6,"")</x:f>
      </x:c>
      <x:c r="F50" s="4" t="str">
        <x:f t="shared" si="1"/>
      </x:c>
      <x:c r="G50" s="3"/>
      <x:c r="H50" s="3" t="s">
        <x:v>137</x:v>
      </x:c>
      <x:c r="I50" s="3"/>
    </x:row>
    <x:row r="51">
      <x:c r="A51" s="8"/>
      <x:c r="B51" s="3"/>
      <x:c r="C51" s="3"/>
      <x:c r="D51" s="5"/>
      <x:c r="E51" s="4" t="str">
        <x:f>IF(D51&gt;0,Parametri!$B$6,"")</x:f>
      </x:c>
      <x:c r="F51" s="4" t="str">
        <x:f t="shared" si="1"/>
      </x:c>
      <x:c r="G51" s="3"/>
      <x:c r="H51" s="3" t="s">
        <x:v>137</x:v>
      </x:c>
      <x:c r="I51" s="3"/>
    </x:row>
    <x:row r="52">
      <x:c r="A52" s="8"/>
      <x:c r="B52" s="3"/>
      <x:c r="C52" s="3"/>
      <x:c r="D52" s="5"/>
      <x:c r="E52" s="4" t="str">
        <x:f>IF(D52&gt;0,Parametri!$B$6,"")</x:f>
      </x:c>
      <x:c r="F52" s="4" t="str">
        <x:f t="shared" si="1"/>
      </x:c>
      <x:c r="G52" s="3"/>
      <x:c r="H52" s="3" t="s">
        <x:v>137</x:v>
      </x:c>
      <x:c r="I52" s="3"/>
    </x:row>
    <x:row r="53">
      <x:c r="A53" s="8"/>
      <x:c r="B53" s="3"/>
      <x:c r="C53" s="3"/>
      <x:c r="D53" s="5"/>
      <x:c r="E53" s="4" t="str">
        <x:f>IF(D53&gt;0,Parametri!$B$6,"")</x:f>
      </x:c>
      <x:c r="F53" s="4" t="str">
        <x:f t="shared" si="1"/>
      </x:c>
      <x:c r="G53" s="3"/>
      <x:c r="H53" s="3" t="s">
        <x:v>137</x:v>
      </x:c>
      <x:c r="I53" s="3"/>
    </x:row>
    <x:row r="54">
      <x:c r="A54" s="8"/>
      <x:c r="B54" s="3"/>
      <x:c r="C54" s="3"/>
      <x:c r="D54" s="5"/>
      <x:c r="E54" s="4" t="str">
        <x:f>IF(D54&gt;0,Parametri!$B$6,"")</x:f>
      </x:c>
      <x:c r="F54" s="4" t="str">
        <x:f t="shared" si="1"/>
      </x:c>
      <x:c r="G54" s="3"/>
      <x:c r="H54" s="3" t="s">
        <x:v>137</x:v>
      </x:c>
      <x:c r="I54" s="3"/>
    </x:row>
    <x:row r="55">
      <x:c r="A55" s="8"/>
      <x:c r="B55" s="3"/>
      <x:c r="C55" s="3"/>
      <x:c r="D55" s="5"/>
      <x:c r="E55" s="4" t="str">
        <x:f>IF(D55&gt;0,Parametri!$B$6,"")</x:f>
      </x:c>
      <x:c r="F55" s="4" t="str">
        <x:f t="shared" si="1"/>
      </x:c>
      <x:c r="G55" s="3"/>
      <x:c r="H55" s="3" t="s">
        <x:v>137</x:v>
      </x:c>
      <x:c r="I55" s="3"/>
    </x:row>
    <x:row r="56">
      <x:c r="A56" s="8"/>
      <x:c r="B56" s="3"/>
      <x:c r="C56" s="3"/>
      <x:c r="D56" s="5"/>
      <x:c r="E56" s="4" t="str">
        <x:f>IF(D56&gt;0,Parametri!$B$6,"")</x:f>
      </x:c>
      <x:c r="F56" s="4" t="str">
        <x:f t="shared" si="1"/>
      </x:c>
      <x:c r="G56" s="3"/>
      <x:c r="H56" s="3" t="s">
        <x:v>137</x:v>
      </x:c>
      <x:c r="I56" s="3"/>
    </x:row>
    <x:row r="57">
      <x:c r="A57" s="8"/>
      <x:c r="B57" s="3"/>
      <x:c r="C57" s="3"/>
      <x:c r="D57" s="5"/>
      <x:c r="E57" s="4" t="str">
        <x:f>IF(D57&gt;0,Parametri!$B$6,"")</x:f>
      </x:c>
      <x:c r="F57" s="4" t="str">
        <x:f t="shared" si="1"/>
      </x:c>
      <x:c r="G57" s="3"/>
      <x:c r="H57" s="3" t="s">
        <x:v>137</x:v>
      </x:c>
      <x:c r="I57" s="3"/>
    </x:row>
    <x:row r="58">
      <x:c r="A58" s="8"/>
      <x:c r="B58" s="3"/>
      <x:c r="C58" s="3"/>
      <x:c r="D58" s="5"/>
      <x:c r="E58" s="4" t="str">
        <x:f>IF(D58&gt;0,Parametri!$B$6,"")</x:f>
      </x:c>
      <x:c r="F58" s="4" t="str">
        <x:f t="shared" si="1"/>
      </x:c>
      <x:c r="G58" s="3"/>
      <x:c r="H58" s="3" t="s">
        <x:v>137</x:v>
      </x:c>
      <x:c r="I58" s="3"/>
    </x:row>
    <x:row r="59">
      <x:c r="A59" s="8"/>
      <x:c r="B59" s="3"/>
      <x:c r="C59" s="3"/>
      <x:c r="D59" s="5"/>
      <x:c r="E59" s="4" t="str">
        <x:f>IF(D59&gt;0,Parametri!$B$6,"")</x:f>
      </x:c>
      <x:c r="F59" s="4" t="str">
        <x:f t="shared" si="1"/>
      </x:c>
      <x:c r="G59" s="3"/>
      <x:c r="H59" s="3" t="s">
        <x:v>137</x:v>
      </x:c>
      <x:c r="I59" s="3"/>
    </x:row>
    <x:row r="60">
      <x:c r="A60" s="8"/>
      <x:c r="B60" s="3"/>
      <x:c r="C60" s="3"/>
      <x:c r="D60" s="5"/>
      <x:c r="E60" s="4" t="str">
        <x:f>IF(D60&gt;0,Parametri!$B$6,"")</x:f>
      </x:c>
      <x:c r="F60" s="4" t="str">
        <x:f t="shared" si="1"/>
      </x:c>
      <x:c r="G60" s="3"/>
      <x:c r="H60" s="3" t="s">
        <x:v>137</x:v>
      </x:c>
      <x:c r="I60" s="3"/>
    </x:row>
    <x:row r="61">
      <x:c r="A61" s="8"/>
      <x:c r="B61" s="3"/>
      <x:c r="C61" s="3"/>
      <x:c r="D61" s="5"/>
      <x:c r="E61" s="4" t="str">
        <x:f>IF(D61&gt;0,Parametri!$B$6,"")</x:f>
      </x:c>
      <x:c r="F61" s="4" t="str">
        <x:f t="shared" si="1"/>
      </x:c>
      <x:c r="G61" s="3"/>
      <x:c r="H61" s="3" t="s">
        <x:v>137</x:v>
      </x:c>
      <x:c r="I61" s="3"/>
    </x:row>
    <x:row r="62">
      <x:c r="A62" s="8"/>
      <x:c r="B62" s="3"/>
      <x:c r="C62" s="3"/>
      <x:c r="D62" s="5"/>
      <x:c r="E62" s="4" t="str">
        <x:f>IF(D62&gt;0,Parametri!$B$6,"")</x:f>
      </x:c>
      <x:c r="F62" s="4" t="str">
        <x:f t="shared" si="1"/>
      </x:c>
      <x:c r="G62" s="3"/>
      <x:c r="H62" s="3" t="s">
        <x:v>137</x:v>
      </x:c>
      <x:c r="I62" s="3"/>
    </x:row>
    <x:row r="63">
      <x:c r="A63" s="8"/>
      <x:c r="B63" s="3"/>
      <x:c r="C63" s="3"/>
      <x:c r="D63" s="5"/>
      <x:c r="E63" s="4" t="str">
        <x:f>IF(D63&gt;0,Parametri!$B$6,"")</x:f>
      </x:c>
      <x:c r="F63" s="4" t="str">
        <x:f t="shared" si="1"/>
      </x:c>
      <x:c r="G63" s="3"/>
      <x:c r="H63" s="3" t="s">
        <x:v>137</x:v>
      </x:c>
      <x:c r="I63" s="3"/>
    </x:row>
    <x:row r="64">
      <x:c r="A64" s="8"/>
      <x:c r="B64" s="3"/>
      <x:c r="C64" s="3"/>
      <x:c r="D64" s="5"/>
      <x:c r="E64" s="4" t="str">
        <x:f>IF(D64&gt;0,Parametri!$B$6,"")</x:f>
      </x:c>
      <x:c r="F64" s="4" t="str">
        <x:f t="shared" si="1"/>
      </x:c>
      <x:c r="G64" s="3"/>
      <x:c r="H64" s="3" t="s">
        <x:v>137</x:v>
      </x:c>
      <x:c r="I64" s="3"/>
    </x:row>
    <x:row r="65">
      <x:c r="A65" s="8"/>
      <x:c r="B65" s="3"/>
      <x:c r="C65" s="3"/>
      <x:c r="D65" s="5"/>
      <x:c r="E65" s="4" t="str">
        <x:f>IF(D65&gt;0,Parametri!$B$6,"")</x:f>
      </x:c>
      <x:c r="F65" s="4" t="str">
        <x:f t="shared" si="1"/>
      </x:c>
      <x:c r="G65" s="3"/>
      <x:c r="H65" s="3" t="s">
        <x:v>137</x:v>
      </x:c>
      <x:c r="I65" s="3"/>
    </x:row>
    <x:row r="66">
      <x:c r="A66" s="8"/>
      <x:c r="B66" s="3"/>
      <x:c r="C66" s="3"/>
      <x:c r="D66" s="5"/>
      <x:c r="E66" s="4" t="str">
        <x:f>IF(D66&gt;0,Parametri!$B$6,"")</x:f>
      </x:c>
      <x:c r="F66" s="4" t="str">
        <x:f t="shared" si="1"/>
      </x:c>
      <x:c r="G66" s="3"/>
      <x:c r="H66" s="3" t="s">
        <x:v>137</x:v>
      </x:c>
      <x:c r="I66" s="3"/>
    </x:row>
    <x:row r="67">
      <x:c r="A67" s="8"/>
      <x:c r="B67" s="3"/>
      <x:c r="C67" s="3"/>
      <x:c r="D67" s="5"/>
      <x:c r="E67" s="4" t="str">
        <x:f>IF(D67&gt;0,Parametri!$B$6,"")</x:f>
      </x:c>
      <x:c r="F67" s="4" t="str">
        <x:f t="shared" si="1"/>
      </x:c>
      <x:c r="G67" s="3"/>
      <x:c r="H67" s="3" t="s">
        <x:v>137</x:v>
      </x:c>
      <x:c r="I67" s="3"/>
    </x:row>
    <x:row r="68">
      <x:c r="A68" s="8"/>
      <x:c r="B68" s="3"/>
      <x:c r="C68" s="3"/>
      <x:c r="D68" s="5"/>
      <x:c r="E68" s="4" t="str">
        <x:f>IF(D68&gt;0,Parametri!$B$6,"")</x:f>
      </x:c>
      <x:c r="F68" s="4" t="str">
        <x:f t="shared" ref="F68:F99" si="2">IF(OR(D68="",E68=""),"",D68*E68)</x:f>
      </x:c>
      <x:c r="G68" s="3"/>
      <x:c r="H68" s="3" t="s">
        <x:v>137</x:v>
      </x:c>
      <x:c r="I68" s="3"/>
    </x:row>
    <x:row r="69">
      <x:c r="A69" s="8"/>
      <x:c r="B69" s="3"/>
      <x:c r="C69" s="3"/>
      <x:c r="D69" s="5"/>
      <x:c r="E69" s="4" t="str">
        <x:f>IF(D69&gt;0,Parametri!$B$6,"")</x:f>
      </x:c>
      <x:c r="F69" s="4" t="str">
        <x:f t="shared" si="2"/>
      </x:c>
      <x:c r="G69" s="3"/>
      <x:c r="H69" s="3" t="s">
        <x:v>137</x:v>
      </x:c>
      <x:c r="I69" s="3"/>
    </x:row>
    <x:row r="70">
      <x:c r="A70" s="8"/>
      <x:c r="B70" s="3"/>
      <x:c r="C70" s="3"/>
      <x:c r="D70" s="5"/>
      <x:c r="E70" s="4" t="str">
        <x:f>IF(D70&gt;0,Parametri!$B$6,"")</x:f>
      </x:c>
      <x:c r="F70" s="4" t="str">
        <x:f t="shared" si="2"/>
      </x:c>
      <x:c r="G70" s="3"/>
      <x:c r="H70" s="3" t="s">
        <x:v>137</x:v>
      </x:c>
      <x:c r="I70" s="3"/>
    </x:row>
    <x:row r="71">
      <x:c r="A71" s="8"/>
      <x:c r="B71" s="3"/>
      <x:c r="C71" s="3"/>
      <x:c r="D71" s="5"/>
      <x:c r="E71" s="4" t="str">
        <x:f>IF(D71&gt;0,Parametri!$B$6,"")</x:f>
      </x:c>
      <x:c r="F71" s="4" t="str">
        <x:f t="shared" si="2"/>
      </x:c>
      <x:c r="G71" s="3"/>
      <x:c r="H71" s="3" t="s">
        <x:v>137</x:v>
      </x:c>
      <x:c r="I71" s="3"/>
    </x:row>
    <x:row r="72">
      <x:c r="A72" s="8"/>
      <x:c r="B72" s="3"/>
      <x:c r="C72" s="3"/>
      <x:c r="D72" s="5"/>
      <x:c r="E72" s="4" t="str">
        <x:f>IF(D72&gt;0,Parametri!$B$6,"")</x:f>
      </x:c>
      <x:c r="F72" s="4" t="str">
        <x:f t="shared" si="2"/>
      </x:c>
      <x:c r="G72" s="3"/>
      <x:c r="H72" s="3" t="s">
        <x:v>137</x:v>
      </x:c>
      <x:c r="I72" s="3"/>
    </x:row>
    <x:row r="73">
      <x:c r="A73" s="8"/>
      <x:c r="B73" s="3"/>
      <x:c r="C73" s="3"/>
      <x:c r="D73" s="5"/>
      <x:c r="E73" s="4" t="str">
        <x:f>IF(D73&gt;0,Parametri!$B$6,"")</x:f>
      </x:c>
      <x:c r="F73" s="4" t="str">
        <x:f t="shared" si="2"/>
      </x:c>
      <x:c r="G73" s="3"/>
      <x:c r="H73" s="3" t="s">
        <x:v>137</x:v>
      </x:c>
      <x:c r="I73" s="3"/>
    </x:row>
    <x:row r="74">
      <x:c r="A74" s="8"/>
      <x:c r="B74" s="3"/>
      <x:c r="C74" s="3"/>
      <x:c r="D74" s="5"/>
      <x:c r="E74" s="4" t="str">
        <x:f>IF(D74&gt;0,Parametri!$B$6,"")</x:f>
      </x:c>
      <x:c r="F74" s="4" t="str">
        <x:f t="shared" si="2"/>
      </x:c>
      <x:c r="G74" s="3"/>
      <x:c r="H74" s="3" t="s">
        <x:v>137</x:v>
      </x:c>
      <x:c r="I74" s="3"/>
    </x:row>
    <x:row r="75">
      <x:c r="A75" s="8"/>
      <x:c r="B75" s="3"/>
      <x:c r="C75" s="3"/>
      <x:c r="D75" s="5"/>
      <x:c r="E75" s="4" t="str">
        <x:f>IF(D75&gt;0,Parametri!$B$6,"")</x:f>
      </x:c>
      <x:c r="F75" s="4" t="str">
        <x:f t="shared" si="2"/>
      </x:c>
      <x:c r="G75" s="3"/>
      <x:c r="H75" s="3" t="s">
        <x:v>137</x:v>
      </x:c>
      <x:c r="I75" s="3"/>
    </x:row>
    <x:row r="76">
      <x:c r="A76" s="8"/>
      <x:c r="B76" s="3"/>
      <x:c r="C76" s="3"/>
      <x:c r="D76" s="5"/>
      <x:c r="E76" s="4" t="str">
        <x:f>IF(D76&gt;0,Parametri!$B$6,"")</x:f>
      </x:c>
      <x:c r="F76" s="4" t="str">
        <x:f t="shared" si="2"/>
      </x:c>
      <x:c r="G76" s="3"/>
      <x:c r="H76" s="3" t="s">
        <x:v>137</x:v>
      </x:c>
      <x:c r="I76" s="3"/>
    </x:row>
    <x:row r="77">
      <x:c r="A77" s="8"/>
      <x:c r="B77" s="3"/>
      <x:c r="C77" s="3"/>
      <x:c r="D77" s="5"/>
      <x:c r="E77" s="4" t="str">
        <x:f>IF(D77&gt;0,Parametri!$B$6,"")</x:f>
      </x:c>
      <x:c r="F77" s="4" t="str">
        <x:f t="shared" si="2"/>
      </x:c>
      <x:c r="G77" s="3"/>
      <x:c r="H77" s="3" t="s">
        <x:v>137</x:v>
      </x:c>
      <x:c r="I77" s="3"/>
    </x:row>
    <x:row r="78">
      <x:c r="A78" s="8"/>
      <x:c r="B78" s="3"/>
      <x:c r="C78" s="3"/>
      <x:c r="D78" s="5"/>
      <x:c r="E78" s="4" t="str">
        <x:f>IF(D78&gt;0,Parametri!$B$6,"")</x:f>
      </x:c>
      <x:c r="F78" s="4" t="str">
        <x:f t="shared" si="2"/>
      </x:c>
      <x:c r="G78" s="3"/>
      <x:c r="H78" s="3" t="s">
        <x:v>137</x:v>
      </x:c>
      <x:c r="I78" s="3"/>
    </x:row>
    <x:row r="79">
      <x:c r="A79" s="8"/>
      <x:c r="B79" s="3"/>
      <x:c r="C79" s="3"/>
      <x:c r="D79" s="5"/>
      <x:c r="E79" s="4" t="str">
        <x:f>IF(D79&gt;0,Parametri!$B$6,"")</x:f>
      </x:c>
      <x:c r="F79" s="4" t="str">
        <x:f t="shared" si="2"/>
      </x:c>
      <x:c r="G79" s="3"/>
      <x:c r="H79" s="3" t="s">
        <x:v>137</x:v>
      </x:c>
      <x:c r="I79" s="3"/>
    </x:row>
    <x:row r="80">
      <x:c r="A80" s="8"/>
      <x:c r="B80" s="3"/>
      <x:c r="C80" s="3"/>
      <x:c r="D80" s="5"/>
      <x:c r="E80" s="4" t="str">
        <x:f>IF(D80&gt;0,Parametri!$B$6,"")</x:f>
      </x:c>
      <x:c r="F80" s="4" t="str">
        <x:f t="shared" si="2"/>
      </x:c>
      <x:c r="G80" s="3"/>
      <x:c r="H80" s="3" t="s">
        <x:v>137</x:v>
      </x:c>
      <x:c r="I80" s="3"/>
    </x:row>
    <x:row r="81">
      <x:c r="A81" s="8"/>
      <x:c r="B81" s="3"/>
      <x:c r="C81" s="3"/>
      <x:c r="D81" s="5"/>
      <x:c r="E81" s="4" t="str">
        <x:f>IF(D81&gt;0,Parametri!$B$6,"")</x:f>
      </x:c>
      <x:c r="F81" s="4" t="str">
        <x:f t="shared" si="2"/>
      </x:c>
      <x:c r="G81" s="3"/>
      <x:c r="H81" s="3" t="s">
        <x:v>137</x:v>
      </x:c>
      <x:c r="I81" s="3"/>
    </x:row>
    <x:row r="82">
      <x:c r="A82" s="8"/>
      <x:c r="B82" s="3"/>
      <x:c r="C82" s="3"/>
      <x:c r="D82" s="5"/>
      <x:c r="E82" s="4" t="str">
        <x:f>IF(D82&gt;0,Parametri!$B$6,"")</x:f>
      </x:c>
      <x:c r="F82" s="4" t="str">
        <x:f t="shared" si="2"/>
      </x:c>
      <x:c r="G82" s="3"/>
      <x:c r="H82" s="3" t="s">
        <x:v>137</x:v>
      </x:c>
      <x:c r="I82" s="3"/>
    </x:row>
    <x:row r="83">
      <x:c r="A83" s="8"/>
      <x:c r="B83" s="3"/>
      <x:c r="C83" s="3"/>
      <x:c r="D83" s="5"/>
      <x:c r="E83" s="4" t="str">
        <x:f>IF(D83&gt;0,Parametri!$B$6,"")</x:f>
      </x:c>
      <x:c r="F83" s="4" t="str">
        <x:f t="shared" si="2"/>
      </x:c>
      <x:c r="G83" s="3"/>
      <x:c r="H83" s="3" t="s">
        <x:v>137</x:v>
      </x:c>
      <x:c r="I83" s="3"/>
    </x:row>
    <x:row r="84">
      <x:c r="A84" s="8"/>
      <x:c r="B84" s="3"/>
      <x:c r="C84" s="3"/>
      <x:c r="D84" s="5"/>
      <x:c r="E84" s="4" t="str">
        <x:f>IF(D84&gt;0,Parametri!$B$6,"")</x:f>
      </x:c>
      <x:c r="F84" s="4" t="str">
        <x:f t="shared" si="2"/>
      </x:c>
      <x:c r="G84" s="3"/>
      <x:c r="H84" s="3" t="s">
        <x:v>137</x:v>
      </x:c>
      <x:c r="I84" s="3"/>
    </x:row>
    <x:row r="85">
      <x:c r="A85" s="8"/>
      <x:c r="B85" s="3"/>
      <x:c r="C85" s="3"/>
      <x:c r="D85" s="5"/>
      <x:c r="E85" s="4" t="str">
        <x:f>IF(D85&gt;0,Parametri!$B$6,"")</x:f>
      </x:c>
      <x:c r="F85" s="4" t="str">
        <x:f t="shared" si="2"/>
      </x:c>
      <x:c r="G85" s="3"/>
      <x:c r="H85" s="3" t="s">
        <x:v>137</x:v>
      </x:c>
      <x:c r="I85" s="3"/>
    </x:row>
    <x:row r="86">
      <x:c r="A86" s="8"/>
      <x:c r="B86" s="3"/>
      <x:c r="C86" s="3"/>
      <x:c r="D86" s="5"/>
      <x:c r="E86" s="4" t="str">
        <x:f>IF(D86&gt;0,Parametri!$B$6,"")</x:f>
      </x:c>
      <x:c r="F86" s="4" t="str">
        <x:f t="shared" si="2"/>
      </x:c>
      <x:c r="G86" s="3"/>
      <x:c r="H86" s="3" t="s">
        <x:v>137</x:v>
      </x:c>
      <x:c r="I86" s="3"/>
    </x:row>
    <x:row r="87">
      <x:c r="A87" s="8"/>
      <x:c r="B87" s="3"/>
      <x:c r="C87" s="3"/>
      <x:c r="D87" s="5"/>
      <x:c r="E87" s="4" t="str">
        <x:f>IF(D87&gt;0,Parametri!$B$6,"")</x:f>
      </x:c>
      <x:c r="F87" s="4" t="str">
        <x:f t="shared" si="2"/>
      </x:c>
      <x:c r="G87" s="3"/>
      <x:c r="H87" s="3" t="s">
        <x:v>137</x:v>
      </x:c>
      <x:c r="I87" s="3"/>
    </x:row>
    <x:row r="88">
      <x:c r="A88" s="8"/>
      <x:c r="B88" s="3"/>
      <x:c r="C88" s="3"/>
      <x:c r="D88" s="5"/>
      <x:c r="E88" s="4" t="str">
        <x:f>IF(D88&gt;0,Parametri!$B$6,"")</x:f>
      </x:c>
      <x:c r="F88" s="4" t="str">
        <x:f t="shared" si="2"/>
      </x:c>
      <x:c r="G88" s="3"/>
      <x:c r="H88" s="3" t="s">
        <x:v>137</x:v>
      </x:c>
      <x:c r="I88" s="3"/>
    </x:row>
    <x:row r="89">
      <x:c r="A89" s="8"/>
      <x:c r="B89" s="3"/>
      <x:c r="C89" s="3"/>
      <x:c r="D89" s="5"/>
      <x:c r="E89" s="4" t="str">
        <x:f>IF(D89&gt;0,Parametri!$B$6,"")</x:f>
      </x:c>
      <x:c r="F89" s="4" t="str">
        <x:f t="shared" si="2"/>
      </x:c>
      <x:c r="G89" s="3"/>
      <x:c r="H89" s="3" t="s">
        <x:v>137</x:v>
      </x:c>
      <x:c r="I89" s="3"/>
    </x:row>
    <x:row r="90">
      <x:c r="A90" s="8"/>
      <x:c r="B90" s="3"/>
      <x:c r="C90" s="3"/>
      <x:c r="D90" s="5"/>
      <x:c r="E90" s="4" t="str">
        <x:f>IF(D90&gt;0,Parametri!$B$6,"")</x:f>
      </x:c>
      <x:c r="F90" s="4" t="str">
        <x:f t="shared" si="2"/>
      </x:c>
      <x:c r="G90" s="3"/>
      <x:c r="H90" s="3" t="s">
        <x:v>137</x:v>
      </x:c>
      <x:c r="I90" s="3"/>
    </x:row>
    <x:row r="91">
      <x:c r="A91" s="8"/>
      <x:c r="B91" s="3"/>
      <x:c r="C91" s="3"/>
      <x:c r="D91" s="5"/>
      <x:c r="E91" s="4" t="str">
        <x:f>IF(D91&gt;0,Parametri!$B$6,"")</x:f>
      </x:c>
      <x:c r="F91" s="4" t="str">
        <x:f t="shared" si="2"/>
      </x:c>
      <x:c r="G91" s="3"/>
      <x:c r="H91" s="3" t="s">
        <x:v>137</x:v>
      </x:c>
      <x:c r="I91" s="3"/>
    </x:row>
    <x:row r="92">
      <x:c r="A92" s="8"/>
      <x:c r="B92" s="3"/>
      <x:c r="C92" s="3"/>
      <x:c r="D92" s="5"/>
      <x:c r="E92" s="4" t="str">
        <x:f>IF(D92&gt;0,Parametri!$B$6,"")</x:f>
      </x:c>
      <x:c r="F92" s="4" t="str">
        <x:f t="shared" si="2"/>
      </x:c>
      <x:c r="G92" s="3"/>
      <x:c r="H92" s="3" t="s">
        <x:v>137</x:v>
      </x:c>
      <x:c r="I92" s="3"/>
    </x:row>
    <x:row r="93">
      <x:c r="A93" s="8"/>
      <x:c r="B93" s="3"/>
      <x:c r="C93" s="3"/>
      <x:c r="D93" s="5"/>
      <x:c r="E93" s="4" t="str">
        <x:f>IF(D93&gt;0,Parametri!$B$6,"")</x:f>
      </x:c>
      <x:c r="F93" s="4" t="str">
        <x:f t="shared" si="2"/>
      </x:c>
      <x:c r="G93" s="3"/>
      <x:c r="H93" s="3" t="s">
        <x:v>137</x:v>
      </x:c>
      <x:c r="I93" s="3"/>
    </x:row>
    <x:row r="94">
      <x:c r="A94" s="8"/>
      <x:c r="B94" s="3"/>
      <x:c r="C94" s="3"/>
      <x:c r="D94" s="5"/>
      <x:c r="E94" s="4" t="str">
        <x:f>IF(D94&gt;0,Parametri!$B$6,"")</x:f>
      </x:c>
      <x:c r="F94" s="4" t="str">
        <x:f t="shared" si="2"/>
      </x:c>
      <x:c r="G94" s="3"/>
      <x:c r="H94" s="3" t="s">
        <x:v>137</x:v>
      </x:c>
      <x:c r="I94" s="3"/>
    </x:row>
    <x:row r="95">
      <x:c r="A95" s="8"/>
      <x:c r="B95" s="3"/>
      <x:c r="C95" s="3"/>
      <x:c r="D95" s="5"/>
      <x:c r="E95" s="4" t="str">
        <x:f>IF(D95&gt;0,Parametri!$B$6,"")</x:f>
      </x:c>
      <x:c r="F95" s="4" t="str">
        <x:f t="shared" si="2"/>
      </x:c>
      <x:c r="G95" s="3"/>
      <x:c r="H95" s="3" t="s">
        <x:v>137</x:v>
      </x:c>
      <x:c r="I95" s="3"/>
    </x:row>
    <x:row r="96">
      <x:c r="A96" s="8"/>
      <x:c r="B96" s="3"/>
      <x:c r="C96" s="3"/>
      <x:c r="D96" s="5"/>
      <x:c r="E96" s="4" t="str">
        <x:f>IF(D96&gt;0,Parametri!$B$6,"")</x:f>
      </x:c>
      <x:c r="F96" s="4" t="str">
        <x:f t="shared" si="2"/>
      </x:c>
      <x:c r="G96" s="3"/>
      <x:c r="H96" s="3" t="s">
        <x:v>137</x:v>
      </x:c>
      <x:c r="I96" s="3"/>
    </x:row>
    <x:row r="97">
      <x:c r="A97" s="8"/>
      <x:c r="B97" s="3"/>
      <x:c r="C97" s="3"/>
      <x:c r="D97" s="5"/>
      <x:c r="E97" s="4" t="str">
        <x:f>IF(D97&gt;0,Parametri!$B$6,"")</x:f>
      </x:c>
      <x:c r="F97" s="4" t="str">
        <x:f t="shared" si="2"/>
      </x:c>
      <x:c r="G97" s="3"/>
      <x:c r="H97" s="3" t="s">
        <x:v>137</x:v>
      </x:c>
      <x:c r="I97" s="3"/>
    </x:row>
    <x:row r="98">
      <x:c r="A98" s="8"/>
      <x:c r="B98" s="3"/>
      <x:c r="C98" s="3"/>
      <x:c r="D98" s="5"/>
      <x:c r="E98" s="4" t="str">
        <x:f>IF(D98&gt;0,Parametri!$B$6,"")</x:f>
      </x:c>
      <x:c r="F98" s="4" t="str">
        <x:f t="shared" si="2"/>
      </x:c>
      <x:c r="G98" s="3"/>
      <x:c r="H98" s="3" t="s">
        <x:v>137</x:v>
      </x:c>
      <x:c r="I98" s="3"/>
    </x:row>
    <x:row r="99">
      <x:c r="A99" s="8"/>
      <x:c r="B99" s="3"/>
      <x:c r="C99" s="3"/>
      <x:c r="D99" s="5"/>
      <x:c r="E99" s="4" t="str">
        <x:f>IF(D99&gt;0,Parametri!$B$6,"")</x:f>
      </x:c>
      <x:c r="F99" s="4" t="str">
        <x:f t="shared" si="2"/>
      </x:c>
      <x:c r="G99" s="3"/>
      <x:c r="H99" s="3" t="s">
        <x:v>137</x:v>
      </x:c>
      <x:c r="I99" s="3"/>
    </x:row>
    <x:row r="100">
      <x:c r="A100" s="8"/>
      <x:c r="B100" s="3"/>
      <x:c r="C100" s="3"/>
      <x:c r="D100" s="5"/>
      <x:c r="E100" s="4" t="str">
        <x:f>IF(D100&gt;0,Parametri!$B$6,"")</x:f>
      </x:c>
      <x:c r="F100" s="4" t="str">
        <x:f t="shared" ref="F100:F131" si="3">IF(OR(D100="",E100=""),"",D100*E100)</x:f>
      </x:c>
      <x:c r="G100" s="3"/>
      <x:c r="H100" s="3" t="s">
        <x:v>137</x:v>
      </x:c>
      <x:c r="I100" s="3"/>
    </x:row>
    <x:row r="101">
      <x:c r="A101" s="8"/>
      <x:c r="B101" s="3"/>
      <x:c r="C101" s="3"/>
      <x:c r="D101" s="5"/>
      <x:c r="E101" s="4" t="str">
        <x:f>IF(D101&gt;0,Parametri!$B$6,"")</x:f>
      </x:c>
      <x:c r="F101" s="4" t="str">
        <x:f t="shared" si="3"/>
      </x:c>
      <x:c r="G101" s="3"/>
      <x:c r="H101" s="3" t="s">
        <x:v>137</x:v>
      </x:c>
      <x:c r="I101" s="3"/>
    </x:row>
    <x:row r="102">
      <x:c r="A102" s="8"/>
      <x:c r="B102" s="3"/>
      <x:c r="C102" s="3"/>
      <x:c r="D102" s="5"/>
      <x:c r="E102" s="4" t="str">
        <x:f>IF(D102&gt;0,Parametri!$B$6,"")</x:f>
      </x:c>
      <x:c r="F102" s="4" t="str">
        <x:f t="shared" si="3"/>
      </x:c>
      <x:c r="G102" s="3"/>
      <x:c r="H102" s="3" t="s">
        <x:v>137</x:v>
      </x:c>
      <x:c r="I102" s="3"/>
    </x:row>
    <x:row r="103">
      <x:c r="A103" s="8"/>
      <x:c r="B103" s="3"/>
      <x:c r="C103" s="3"/>
      <x:c r="D103" s="5"/>
      <x:c r="E103" s="4" t="str">
        <x:f>IF(D103&gt;0,Parametri!$B$6,"")</x:f>
      </x:c>
      <x:c r="F103" s="4" t="str">
        <x:f t="shared" si="3"/>
      </x:c>
      <x:c r="G103" s="3"/>
      <x:c r="H103" s="3" t="s">
        <x:v>137</x:v>
      </x:c>
      <x:c r="I103" s="3"/>
    </x:row>
    <x:row r="104">
      <x:c r="A104" s="8"/>
      <x:c r="B104" s="3"/>
      <x:c r="C104" s="3"/>
      <x:c r="D104" s="5"/>
      <x:c r="E104" s="4" t="str">
        <x:f>IF(D104&gt;0,Parametri!$B$6,"")</x:f>
      </x:c>
      <x:c r="F104" s="4" t="str">
        <x:f t="shared" si="3"/>
      </x:c>
      <x:c r="G104" s="3"/>
      <x:c r="H104" s="3" t="s">
        <x:v>137</x:v>
      </x:c>
      <x:c r="I104" s="3"/>
    </x:row>
    <x:row r="105">
      <x:c r="A105" s="8"/>
      <x:c r="B105" s="3"/>
      <x:c r="C105" s="3"/>
      <x:c r="D105" s="5"/>
      <x:c r="E105" s="4" t="str">
        <x:f>IF(D105&gt;0,Parametri!$B$6,"")</x:f>
      </x:c>
      <x:c r="F105" s="4" t="str">
        <x:f t="shared" si="3"/>
      </x:c>
      <x:c r="G105" s="3"/>
      <x:c r="H105" s="3" t="s">
        <x:v>137</x:v>
      </x:c>
      <x:c r="I105" s="3"/>
    </x:row>
    <x:row r="106">
      <x:c r="A106" s="8"/>
      <x:c r="B106" s="3"/>
      <x:c r="C106" s="3"/>
      <x:c r="D106" s="5"/>
      <x:c r="E106" s="4" t="str">
        <x:f>IF(D106&gt;0,Parametri!$B$6,"")</x:f>
      </x:c>
      <x:c r="F106" s="4" t="str">
        <x:f t="shared" si="3"/>
      </x:c>
      <x:c r="G106" s="3"/>
      <x:c r="H106" s="3" t="s">
        <x:v>137</x:v>
      </x:c>
      <x:c r="I106" s="3"/>
    </x:row>
    <x:row r="107">
      <x:c r="A107" s="8"/>
      <x:c r="B107" s="3"/>
      <x:c r="C107" s="3"/>
      <x:c r="D107" s="5"/>
      <x:c r="E107" s="4" t="str">
        <x:f>IF(D107&gt;0,Parametri!$B$6,"")</x:f>
      </x:c>
      <x:c r="F107" s="4" t="str">
        <x:f t="shared" si="3"/>
      </x:c>
      <x:c r="G107" s="3"/>
      <x:c r="H107" s="3" t="s">
        <x:v>137</x:v>
      </x:c>
      <x:c r="I107" s="3"/>
    </x:row>
    <x:row r="108">
      <x:c r="A108" s="8"/>
      <x:c r="B108" s="3"/>
      <x:c r="C108" s="3"/>
      <x:c r="D108" s="5"/>
      <x:c r="E108" s="4" t="str">
        <x:f>IF(D108&gt;0,Parametri!$B$6,"")</x:f>
      </x:c>
      <x:c r="F108" s="4" t="str">
        <x:f t="shared" si="3"/>
      </x:c>
      <x:c r="G108" s="3"/>
      <x:c r="H108" s="3" t="s">
        <x:v>137</x:v>
      </x:c>
      <x:c r="I108" s="3"/>
    </x:row>
    <x:row r="109">
      <x:c r="A109" s="8"/>
      <x:c r="B109" s="3"/>
      <x:c r="C109" s="3"/>
      <x:c r="D109" s="5"/>
      <x:c r="E109" s="4" t="str">
        <x:f>IF(D109&gt;0,Parametri!$B$6,"")</x:f>
      </x:c>
      <x:c r="F109" s="4" t="str">
        <x:f t="shared" si="3"/>
      </x:c>
      <x:c r="G109" s="3"/>
      <x:c r="H109" s="3" t="s">
        <x:v>137</x:v>
      </x:c>
      <x:c r="I109" s="3"/>
    </x:row>
    <x:row r="110">
      <x:c r="A110" s="8"/>
      <x:c r="B110" s="3"/>
      <x:c r="C110" s="3"/>
      <x:c r="D110" s="5"/>
      <x:c r="E110" s="4" t="str">
        <x:f>IF(D110&gt;0,Parametri!$B$6,"")</x:f>
      </x:c>
      <x:c r="F110" s="4" t="str">
        <x:f t="shared" si="3"/>
      </x:c>
      <x:c r="G110" s="3"/>
      <x:c r="H110" s="3" t="s">
        <x:v>137</x:v>
      </x:c>
      <x:c r="I110" s="3"/>
    </x:row>
    <x:row r="111">
      <x:c r="A111" s="8"/>
      <x:c r="B111" s="3"/>
      <x:c r="C111" s="3"/>
      <x:c r="D111" s="5"/>
      <x:c r="E111" s="4" t="str">
        <x:f>IF(D111&gt;0,Parametri!$B$6,"")</x:f>
      </x:c>
      <x:c r="F111" s="4" t="str">
        <x:f t="shared" si="3"/>
      </x:c>
      <x:c r="G111" s="3"/>
      <x:c r="H111" s="3" t="s">
        <x:v>137</x:v>
      </x:c>
      <x:c r="I111" s="3"/>
    </x:row>
    <x:row r="112">
      <x:c r="A112" s="8"/>
      <x:c r="B112" s="3"/>
      <x:c r="C112" s="3"/>
      <x:c r="D112" s="5"/>
      <x:c r="E112" s="4" t="str">
        <x:f>IF(D112&gt;0,Parametri!$B$6,"")</x:f>
      </x:c>
      <x:c r="F112" s="4" t="str">
        <x:f t="shared" si="3"/>
      </x:c>
      <x:c r="G112" s="3"/>
      <x:c r="H112" s="3" t="s">
        <x:v>137</x:v>
      </x:c>
      <x:c r="I112" s="3"/>
    </x:row>
    <x:row r="113">
      <x:c r="A113" s="8"/>
      <x:c r="B113" s="3"/>
      <x:c r="C113" s="3"/>
      <x:c r="D113" s="5"/>
      <x:c r="E113" s="4" t="str">
        <x:f>IF(D113&gt;0,Parametri!$B$6,"")</x:f>
      </x:c>
      <x:c r="F113" s="4" t="str">
        <x:f t="shared" si="3"/>
      </x:c>
      <x:c r="G113" s="3"/>
      <x:c r="H113" s="3" t="s">
        <x:v>137</x:v>
      </x:c>
      <x:c r="I113" s="3"/>
    </x:row>
    <x:row r="114">
      <x:c r="A114" s="8"/>
      <x:c r="B114" s="3"/>
      <x:c r="C114" s="3"/>
      <x:c r="D114" s="5"/>
      <x:c r="E114" s="4" t="str">
        <x:f>IF(D114&gt;0,Parametri!$B$6,"")</x:f>
      </x:c>
      <x:c r="F114" s="4" t="str">
        <x:f t="shared" si="3"/>
      </x:c>
      <x:c r="G114" s="3"/>
      <x:c r="H114" s="3" t="s">
        <x:v>137</x:v>
      </x:c>
      <x:c r="I114" s="3"/>
    </x:row>
    <x:row r="115">
      <x:c r="A115" s="8"/>
      <x:c r="B115" s="3"/>
      <x:c r="C115" s="3"/>
      <x:c r="D115" s="5"/>
      <x:c r="E115" s="4" t="str">
        <x:f>IF(D115&gt;0,Parametri!$B$6,"")</x:f>
      </x:c>
      <x:c r="F115" s="4" t="str">
        <x:f t="shared" si="3"/>
      </x:c>
      <x:c r="G115" s="3"/>
      <x:c r="H115" s="3" t="s">
        <x:v>137</x:v>
      </x:c>
      <x:c r="I115" s="3"/>
    </x:row>
    <x:row r="116">
      <x:c r="A116" s="8"/>
      <x:c r="B116" s="3"/>
      <x:c r="C116" s="3"/>
      <x:c r="D116" s="5"/>
      <x:c r="E116" s="4" t="str">
        <x:f>IF(D116&gt;0,Parametri!$B$6,"")</x:f>
      </x:c>
      <x:c r="F116" s="4" t="str">
        <x:f t="shared" si="3"/>
      </x:c>
      <x:c r="G116" s="3"/>
      <x:c r="H116" s="3" t="s">
        <x:v>137</x:v>
      </x:c>
      <x:c r="I116" s="3"/>
    </x:row>
    <x:row r="117">
      <x:c r="A117" s="8"/>
      <x:c r="B117" s="3"/>
      <x:c r="C117" s="3"/>
      <x:c r="D117" s="5"/>
      <x:c r="E117" s="4" t="str">
        <x:f>IF(D117&gt;0,Parametri!$B$6,"")</x:f>
      </x:c>
      <x:c r="F117" s="4" t="str">
        <x:f t="shared" si="3"/>
      </x:c>
      <x:c r="G117" s="3"/>
      <x:c r="H117" s="3" t="s">
        <x:v>137</x:v>
      </x:c>
      <x:c r="I117" s="3"/>
    </x:row>
    <x:row r="118">
      <x:c r="A118" s="8"/>
      <x:c r="B118" s="3"/>
      <x:c r="C118" s="3"/>
      <x:c r="D118" s="5"/>
      <x:c r="E118" s="4" t="str">
        <x:f>IF(D118&gt;0,Parametri!$B$6,"")</x:f>
      </x:c>
      <x:c r="F118" s="4" t="str">
        <x:f t="shared" si="3"/>
      </x:c>
      <x:c r="G118" s="3"/>
      <x:c r="H118" s="3" t="s">
        <x:v>137</x:v>
      </x:c>
      <x:c r="I118" s="3"/>
    </x:row>
    <x:row r="119">
      <x:c r="A119" s="8"/>
      <x:c r="B119" s="3"/>
      <x:c r="C119" s="3"/>
      <x:c r="D119" s="5"/>
      <x:c r="E119" s="4" t="str">
        <x:f>IF(D119&gt;0,Parametri!$B$6,"")</x:f>
      </x:c>
      <x:c r="F119" s="4" t="str">
        <x:f t="shared" si="3"/>
      </x:c>
      <x:c r="G119" s="3"/>
      <x:c r="H119" s="3" t="s">
        <x:v>137</x:v>
      </x:c>
      <x:c r="I119" s="3"/>
    </x:row>
    <x:row r="120">
      <x:c r="A120" s="8"/>
      <x:c r="B120" s="3"/>
      <x:c r="C120" s="3"/>
      <x:c r="D120" s="5"/>
      <x:c r="E120" s="4" t="str">
        <x:f>IF(D120&gt;0,Parametri!$B$6,"")</x:f>
      </x:c>
      <x:c r="F120" s="4" t="str">
        <x:f t="shared" si="3"/>
      </x:c>
      <x:c r="G120" s="3"/>
      <x:c r="H120" s="3" t="s">
        <x:v>137</x:v>
      </x:c>
      <x:c r="I120" s="3"/>
    </x:row>
    <x:row r="121">
      <x:c r="A121" s="8"/>
      <x:c r="B121" s="3"/>
      <x:c r="C121" s="3"/>
      <x:c r="D121" s="5"/>
      <x:c r="E121" s="4" t="str">
        <x:f>IF(D121&gt;0,Parametri!$B$6,"")</x:f>
      </x:c>
      <x:c r="F121" s="4" t="str">
        <x:f t="shared" si="3"/>
      </x:c>
      <x:c r="G121" s="3"/>
      <x:c r="H121" s="3" t="s">
        <x:v>137</x:v>
      </x:c>
      <x:c r="I121" s="3"/>
    </x:row>
    <x:row r="122">
      <x:c r="A122" s="8"/>
      <x:c r="B122" s="3"/>
      <x:c r="C122" s="3"/>
      <x:c r="D122" s="5"/>
      <x:c r="E122" s="4" t="str">
        <x:f>IF(D122&gt;0,Parametri!$B$6,"")</x:f>
      </x:c>
      <x:c r="F122" s="4" t="str">
        <x:f t="shared" si="3"/>
      </x:c>
      <x:c r="G122" s="3"/>
      <x:c r="H122" s="3" t="s">
        <x:v>137</x:v>
      </x:c>
      <x:c r="I122" s="3"/>
    </x:row>
    <x:row r="123">
      <x:c r="A123" s="8"/>
      <x:c r="B123" s="3"/>
      <x:c r="C123" s="3"/>
      <x:c r="D123" s="5"/>
      <x:c r="E123" s="4" t="str">
        <x:f>IF(D123&gt;0,Parametri!$B$6,"")</x:f>
      </x:c>
      <x:c r="F123" s="4" t="str">
        <x:f t="shared" si="3"/>
      </x:c>
      <x:c r="G123" s="3"/>
      <x:c r="H123" s="3" t="s">
        <x:v>137</x:v>
      </x:c>
      <x:c r="I123" s="3"/>
    </x:row>
    <x:row r="124">
      <x:c r="A124" s="8"/>
      <x:c r="B124" s="3"/>
      <x:c r="C124" s="3"/>
      <x:c r="D124" s="5"/>
      <x:c r="E124" s="4" t="str">
        <x:f>IF(D124&gt;0,Parametri!$B$6,"")</x:f>
      </x:c>
      <x:c r="F124" s="4" t="str">
        <x:f t="shared" si="3"/>
      </x:c>
      <x:c r="G124" s="3"/>
      <x:c r="H124" s="3" t="s">
        <x:v>137</x:v>
      </x:c>
      <x:c r="I124" s="3"/>
    </x:row>
    <x:row r="125">
      <x:c r="A125" s="8"/>
      <x:c r="B125" s="3"/>
      <x:c r="C125" s="3"/>
      <x:c r="D125" s="5"/>
      <x:c r="E125" s="4" t="str">
        <x:f>IF(D125&gt;0,Parametri!$B$6,"")</x:f>
      </x:c>
      <x:c r="F125" s="4" t="str">
        <x:f t="shared" si="3"/>
      </x:c>
      <x:c r="G125" s="3"/>
      <x:c r="H125" s="3" t="s">
        <x:v>137</x:v>
      </x:c>
      <x:c r="I125" s="3"/>
    </x:row>
    <x:row r="126">
      <x:c r="A126" s="8"/>
      <x:c r="B126" s="3"/>
      <x:c r="C126" s="3"/>
      <x:c r="D126" s="5"/>
      <x:c r="E126" s="4" t="str">
        <x:f>IF(D126&gt;0,Parametri!$B$6,"")</x:f>
      </x:c>
      <x:c r="F126" s="4" t="str">
        <x:f t="shared" si="3"/>
      </x:c>
      <x:c r="G126" s="3"/>
      <x:c r="H126" s="3" t="s">
        <x:v>137</x:v>
      </x:c>
      <x:c r="I126" s="3"/>
    </x:row>
    <x:row r="127">
      <x:c r="A127" s="8"/>
      <x:c r="B127" s="3"/>
      <x:c r="C127" s="3"/>
      <x:c r="D127" s="5"/>
      <x:c r="E127" s="4" t="str">
        <x:f>IF(D127&gt;0,Parametri!$B$6,"")</x:f>
      </x:c>
      <x:c r="F127" s="4" t="str">
        <x:f t="shared" si="3"/>
      </x:c>
      <x:c r="G127" s="3"/>
      <x:c r="H127" s="3" t="s">
        <x:v>137</x:v>
      </x:c>
      <x:c r="I127" s="3"/>
    </x:row>
    <x:row r="128">
      <x:c r="A128" s="8"/>
      <x:c r="B128" s="3"/>
      <x:c r="C128" s="3"/>
      <x:c r="D128" s="5"/>
      <x:c r="E128" s="4" t="str">
        <x:f>IF(D128&gt;0,Parametri!$B$6,"")</x:f>
      </x:c>
      <x:c r="F128" s="4" t="str">
        <x:f t="shared" si="3"/>
      </x:c>
      <x:c r="G128" s="3"/>
      <x:c r="H128" s="3" t="s">
        <x:v>137</x:v>
      </x:c>
      <x:c r="I128" s="3"/>
    </x:row>
    <x:row r="129">
      <x:c r="A129" s="8"/>
      <x:c r="B129" s="3"/>
      <x:c r="C129" s="3"/>
      <x:c r="D129" s="5"/>
      <x:c r="E129" s="4" t="str">
        <x:f>IF(D129&gt;0,Parametri!$B$6,"")</x:f>
      </x:c>
      <x:c r="F129" s="4" t="str">
        <x:f t="shared" si="3"/>
      </x:c>
      <x:c r="G129" s="3"/>
      <x:c r="H129" s="3" t="s">
        <x:v>137</x:v>
      </x:c>
      <x:c r="I129" s="3"/>
    </x:row>
    <x:row r="130">
      <x:c r="A130" s="8"/>
      <x:c r="B130" s="3"/>
      <x:c r="C130" s="3"/>
      <x:c r="D130" s="5"/>
      <x:c r="E130" s="4" t="str">
        <x:f>IF(D130&gt;0,Parametri!$B$6,"")</x:f>
      </x:c>
      <x:c r="F130" s="4" t="str">
        <x:f t="shared" si="3"/>
      </x:c>
      <x:c r="G130" s="3"/>
      <x:c r="H130" s="3" t="s">
        <x:v>137</x:v>
      </x:c>
      <x:c r="I130" s="3"/>
    </x:row>
    <x:row r="131">
      <x:c r="A131" s="8"/>
      <x:c r="B131" s="3"/>
      <x:c r="C131" s="3"/>
      <x:c r="D131" s="5"/>
      <x:c r="E131" s="4" t="str">
        <x:f>IF(D131&gt;0,Parametri!$B$6,"")</x:f>
      </x:c>
      <x:c r="F131" s="4" t="str">
        <x:f t="shared" si="3"/>
      </x:c>
      <x:c r="G131" s="3"/>
      <x:c r="H131" s="3" t="s">
        <x:v>137</x:v>
      </x:c>
      <x:c r="I131" s="3"/>
    </x:row>
    <x:row r="132">
      <x:c r="A132" s="8"/>
      <x:c r="B132" s="3"/>
      <x:c r="C132" s="3"/>
      <x:c r="D132" s="5"/>
      <x:c r="E132" s="4" t="str">
        <x:f>IF(D132&gt;0,Parametri!$B$6,"")</x:f>
      </x:c>
      <x:c r="F132" s="4" t="str">
        <x:f t="shared" ref="F132:F163" si="4">IF(OR(D132="",E132=""),"",D132*E132)</x:f>
      </x:c>
      <x:c r="G132" s="3"/>
      <x:c r="H132" s="3" t="s">
        <x:v>137</x:v>
      </x:c>
      <x:c r="I132" s="3"/>
    </x:row>
    <x:row r="133">
      <x:c r="A133" s="8"/>
      <x:c r="B133" s="3"/>
      <x:c r="C133" s="3"/>
      <x:c r="D133" s="5"/>
      <x:c r="E133" s="4" t="str">
        <x:f>IF(D133&gt;0,Parametri!$B$6,"")</x:f>
      </x:c>
      <x:c r="F133" s="4" t="str">
        <x:f t="shared" si="4"/>
      </x:c>
      <x:c r="G133" s="3"/>
      <x:c r="H133" s="3" t="s">
        <x:v>137</x:v>
      </x:c>
      <x:c r="I133" s="3"/>
    </x:row>
    <x:row r="134">
      <x:c r="A134" s="8"/>
      <x:c r="B134" s="3"/>
      <x:c r="C134" s="3"/>
      <x:c r="D134" s="5"/>
      <x:c r="E134" s="4" t="str">
        <x:f>IF(D134&gt;0,Parametri!$B$6,"")</x:f>
      </x:c>
      <x:c r="F134" s="4" t="str">
        <x:f t="shared" si="4"/>
      </x:c>
      <x:c r="G134" s="3"/>
      <x:c r="H134" s="3" t="s">
        <x:v>137</x:v>
      </x:c>
      <x:c r="I134" s="3"/>
    </x:row>
    <x:row r="135">
      <x:c r="A135" s="8"/>
      <x:c r="B135" s="3"/>
      <x:c r="C135" s="3"/>
      <x:c r="D135" s="5"/>
      <x:c r="E135" s="4" t="str">
        <x:f>IF(D135&gt;0,Parametri!$B$6,"")</x:f>
      </x:c>
      <x:c r="F135" s="4" t="str">
        <x:f t="shared" si="4"/>
      </x:c>
      <x:c r="G135" s="3"/>
      <x:c r="H135" s="3" t="s">
        <x:v>137</x:v>
      </x:c>
      <x:c r="I135" s="3"/>
    </x:row>
    <x:row r="136">
      <x:c r="A136" s="8"/>
      <x:c r="B136" s="3"/>
      <x:c r="C136" s="3"/>
      <x:c r="D136" s="5"/>
      <x:c r="E136" s="4" t="str">
        <x:f>IF(D136&gt;0,Parametri!$B$6,"")</x:f>
      </x:c>
      <x:c r="F136" s="4" t="str">
        <x:f t="shared" si="4"/>
      </x:c>
      <x:c r="G136" s="3"/>
      <x:c r="H136" s="3" t="s">
        <x:v>137</x:v>
      </x:c>
      <x:c r="I136" s="3"/>
    </x:row>
    <x:row r="137">
      <x:c r="A137" s="8"/>
      <x:c r="B137" s="3"/>
      <x:c r="C137" s="3"/>
      <x:c r="D137" s="5"/>
      <x:c r="E137" s="4" t="str">
        <x:f>IF(D137&gt;0,Parametri!$B$6,"")</x:f>
      </x:c>
      <x:c r="F137" s="4" t="str">
        <x:f t="shared" si="4"/>
      </x:c>
      <x:c r="G137" s="3"/>
      <x:c r="H137" s="3" t="s">
        <x:v>137</x:v>
      </x:c>
      <x:c r="I137" s="3"/>
    </x:row>
    <x:row r="138">
      <x:c r="A138" s="8"/>
      <x:c r="B138" s="3"/>
      <x:c r="C138" s="3"/>
      <x:c r="D138" s="5"/>
      <x:c r="E138" s="4" t="str">
        <x:f>IF(D138&gt;0,Parametri!$B$6,"")</x:f>
      </x:c>
      <x:c r="F138" s="4" t="str">
        <x:f t="shared" si="4"/>
      </x:c>
      <x:c r="G138" s="3"/>
      <x:c r="H138" s="3" t="s">
        <x:v>137</x:v>
      </x:c>
      <x:c r="I138" s="3"/>
    </x:row>
    <x:row r="139">
      <x:c r="A139" s="8"/>
      <x:c r="B139" s="3"/>
      <x:c r="C139" s="3"/>
      <x:c r="D139" s="5"/>
      <x:c r="E139" s="4" t="str">
        <x:f>IF(D139&gt;0,Parametri!$B$6,"")</x:f>
      </x:c>
      <x:c r="F139" s="4" t="str">
        <x:f t="shared" si="4"/>
      </x:c>
      <x:c r="G139" s="3"/>
      <x:c r="H139" s="3" t="s">
        <x:v>137</x:v>
      </x:c>
      <x:c r="I139" s="3"/>
    </x:row>
    <x:row r="140">
      <x:c r="A140" s="8"/>
      <x:c r="B140" s="3"/>
      <x:c r="C140" s="3"/>
      <x:c r="D140" s="5"/>
      <x:c r="E140" s="4" t="str">
        <x:f>IF(D140&gt;0,Parametri!$B$6,"")</x:f>
      </x:c>
      <x:c r="F140" s="4" t="str">
        <x:f t="shared" si="4"/>
      </x:c>
      <x:c r="G140" s="3"/>
      <x:c r="H140" s="3" t="s">
        <x:v>137</x:v>
      </x:c>
      <x:c r="I140" s="3"/>
    </x:row>
    <x:row r="141">
      <x:c r="A141" s="8"/>
      <x:c r="B141" s="3"/>
      <x:c r="C141" s="3"/>
      <x:c r="D141" s="5"/>
      <x:c r="E141" s="4" t="str">
        <x:f>IF(D141&gt;0,Parametri!$B$6,"")</x:f>
      </x:c>
      <x:c r="F141" s="4" t="str">
        <x:f t="shared" si="4"/>
      </x:c>
      <x:c r="G141" s="3"/>
      <x:c r="H141" s="3" t="s">
        <x:v>137</x:v>
      </x:c>
      <x:c r="I141" s="3"/>
    </x:row>
    <x:row r="142">
      <x:c r="A142" s="8"/>
      <x:c r="B142" s="3"/>
      <x:c r="C142" s="3"/>
      <x:c r="D142" s="5"/>
      <x:c r="E142" s="4" t="str">
        <x:f>IF(D142&gt;0,Parametri!$B$6,"")</x:f>
      </x:c>
      <x:c r="F142" s="4" t="str">
        <x:f t="shared" si="4"/>
      </x:c>
      <x:c r="G142" s="3"/>
      <x:c r="H142" s="3" t="s">
        <x:v>137</x:v>
      </x:c>
      <x:c r="I142" s="3"/>
    </x:row>
    <x:row r="143">
      <x:c r="A143" s="8"/>
      <x:c r="B143" s="3"/>
      <x:c r="C143" s="3"/>
      <x:c r="D143" s="5"/>
      <x:c r="E143" s="4" t="str">
        <x:f>IF(D143&gt;0,Parametri!$B$6,"")</x:f>
      </x:c>
      <x:c r="F143" s="4" t="str">
        <x:f t="shared" si="4"/>
      </x:c>
      <x:c r="G143" s="3"/>
      <x:c r="H143" s="3" t="s">
        <x:v>137</x:v>
      </x:c>
      <x:c r="I143" s="3"/>
    </x:row>
    <x:row r="144">
      <x:c r="A144" s="8"/>
      <x:c r="B144" s="3"/>
      <x:c r="C144" s="3"/>
      <x:c r="D144" s="5"/>
      <x:c r="E144" s="4" t="str">
        <x:f>IF(D144&gt;0,Parametri!$B$6,"")</x:f>
      </x:c>
      <x:c r="F144" s="4" t="str">
        <x:f t="shared" si="4"/>
      </x:c>
      <x:c r="G144" s="3"/>
      <x:c r="H144" s="3" t="s">
        <x:v>137</x:v>
      </x:c>
      <x:c r="I144" s="3"/>
    </x:row>
    <x:row r="145">
      <x:c r="A145" s="8"/>
      <x:c r="B145" s="3"/>
      <x:c r="C145" s="3"/>
      <x:c r="D145" s="5"/>
      <x:c r="E145" s="4" t="str">
        <x:f>IF(D145&gt;0,Parametri!$B$6,"")</x:f>
      </x:c>
      <x:c r="F145" s="4" t="str">
        <x:f t="shared" si="4"/>
      </x:c>
      <x:c r="G145" s="3"/>
      <x:c r="H145" s="3" t="s">
        <x:v>137</x:v>
      </x:c>
      <x:c r="I145" s="3"/>
    </x:row>
    <x:row r="146">
      <x:c r="A146" s="8"/>
      <x:c r="B146" s="3"/>
      <x:c r="C146" s="3"/>
      <x:c r="D146" s="5"/>
      <x:c r="E146" s="4" t="str">
        <x:f>IF(D146&gt;0,Parametri!$B$6,"")</x:f>
      </x:c>
      <x:c r="F146" s="4" t="str">
        <x:f t="shared" si="4"/>
      </x:c>
      <x:c r="G146" s="3"/>
      <x:c r="H146" s="3" t="s">
        <x:v>137</x:v>
      </x:c>
      <x:c r="I146" s="3"/>
    </x:row>
    <x:row r="147">
      <x:c r="A147" s="8"/>
      <x:c r="B147" s="3"/>
      <x:c r="C147" s="3"/>
      <x:c r="D147" s="5"/>
      <x:c r="E147" s="4" t="str">
        <x:f>IF(D147&gt;0,Parametri!$B$6,"")</x:f>
      </x:c>
      <x:c r="F147" s="4" t="str">
        <x:f t="shared" si="4"/>
      </x:c>
      <x:c r="G147" s="3"/>
      <x:c r="H147" s="3" t="s">
        <x:v>137</x:v>
      </x:c>
      <x:c r="I147" s="3"/>
    </x:row>
    <x:row r="148">
      <x:c r="A148" s="8"/>
      <x:c r="B148" s="3"/>
      <x:c r="C148" s="3"/>
      <x:c r="D148" s="5"/>
      <x:c r="E148" s="4" t="str">
        <x:f>IF(D148&gt;0,Parametri!$B$6,"")</x:f>
      </x:c>
      <x:c r="F148" s="4" t="str">
        <x:f t="shared" si="4"/>
      </x:c>
      <x:c r="G148" s="3"/>
      <x:c r="H148" s="3" t="s">
        <x:v>137</x:v>
      </x:c>
      <x:c r="I148" s="3"/>
    </x:row>
    <x:row r="149">
      <x:c r="A149" s="8"/>
      <x:c r="B149" s="3"/>
      <x:c r="C149" s="3"/>
      <x:c r="D149" s="5"/>
      <x:c r="E149" s="4" t="str">
        <x:f>IF(D149&gt;0,Parametri!$B$6,"")</x:f>
      </x:c>
      <x:c r="F149" s="4" t="str">
        <x:f t="shared" si="4"/>
      </x:c>
      <x:c r="G149" s="3"/>
      <x:c r="H149" s="3" t="s">
        <x:v>137</x:v>
      </x:c>
      <x:c r="I149" s="3"/>
    </x:row>
    <x:row r="150">
      <x:c r="A150" s="8"/>
      <x:c r="B150" s="3"/>
      <x:c r="C150" s="3"/>
      <x:c r="D150" s="5"/>
      <x:c r="E150" s="4" t="str">
        <x:f>IF(D150&gt;0,Parametri!$B$6,"")</x:f>
      </x:c>
      <x:c r="F150" s="4" t="str">
        <x:f t="shared" si="4"/>
      </x:c>
      <x:c r="G150" s="3"/>
      <x:c r="H150" s="3" t="s">
        <x:v>137</x:v>
      </x:c>
      <x:c r="I150" s="3"/>
    </x:row>
    <x:row r="151">
      <x:c r="A151" s="8"/>
      <x:c r="B151" s="3"/>
      <x:c r="C151" s="3"/>
      <x:c r="D151" s="5"/>
      <x:c r="E151" s="4" t="str">
        <x:f>IF(D151&gt;0,Parametri!$B$6,"")</x:f>
      </x:c>
      <x:c r="F151" s="4" t="str">
        <x:f t="shared" si="4"/>
      </x:c>
      <x:c r="G151" s="3"/>
      <x:c r="H151" s="3" t="s">
        <x:v>137</x:v>
      </x:c>
      <x:c r="I151" s="3"/>
    </x:row>
    <x:row r="152">
      <x:c r="A152" s="8"/>
      <x:c r="B152" s="3"/>
      <x:c r="C152" s="3"/>
      <x:c r="D152" s="5"/>
      <x:c r="E152" s="4" t="str">
        <x:f>IF(D152&gt;0,Parametri!$B$6,"")</x:f>
      </x:c>
      <x:c r="F152" s="4" t="str">
        <x:f t="shared" si="4"/>
      </x:c>
      <x:c r="G152" s="3"/>
      <x:c r="H152" s="3" t="s">
        <x:v>137</x:v>
      </x:c>
      <x:c r="I152" s="3"/>
    </x:row>
    <x:row r="153">
      <x:c r="A153" s="8"/>
      <x:c r="B153" s="3"/>
      <x:c r="C153" s="3"/>
      <x:c r="D153" s="5"/>
      <x:c r="E153" s="4" t="str">
        <x:f>IF(D153&gt;0,Parametri!$B$6,"")</x:f>
      </x:c>
      <x:c r="F153" s="4" t="str">
        <x:f t="shared" si="4"/>
      </x:c>
      <x:c r="G153" s="3"/>
      <x:c r="H153" s="3" t="s">
        <x:v>137</x:v>
      </x:c>
      <x:c r="I153" s="3"/>
    </x:row>
    <x:row r="154">
      <x:c r="A154" s="8"/>
      <x:c r="B154" s="3"/>
      <x:c r="C154" s="3"/>
      <x:c r="D154" s="5"/>
      <x:c r="E154" s="4" t="str">
        <x:f>IF(D154&gt;0,Parametri!$B$6,"")</x:f>
      </x:c>
      <x:c r="F154" s="4" t="str">
        <x:f t="shared" si="4"/>
      </x:c>
      <x:c r="G154" s="3"/>
      <x:c r="H154" s="3" t="s">
        <x:v>137</x:v>
      </x:c>
      <x:c r="I154" s="3"/>
    </x:row>
    <x:row r="155">
      <x:c r="A155" s="8"/>
      <x:c r="B155" s="3"/>
      <x:c r="C155" s="3"/>
      <x:c r="D155" s="5"/>
      <x:c r="E155" s="4" t="str">
        <x:f>IF(D155&gt;0,Parametri!$B$6,"")</x:f>
      </x:c>
      <x:c r="F155" s="4" t="str">
        <x:f t="shared" si="4"/>
      </x:c>
      <x:c r="G155" s="3"/>
      <x:c r="H155" s="3" t="s">
        <x:v>137</x:v>
      </x:c>
      <x:c r="I155" s="3"/>
    </x:row>
    <x:row r="156">
      <x:c r="A156" s="8"/>
      <x:c r="B156" s="3"/>
      <x:c r="C156" s="3"/>
      <x:c r="D156" s="5"/>
      <x:c r="E156" s="4" t="str">
        <x:f>IF(D156&gt;0,Parametri!$B$6,"")</x:f>
      </x:c>
      <x:c r="F156" s="4" t="str">
        <x:f t="shared" si="4"/>
      </x:c>
      <x:c r="G156" s="3"/>
      <x:c r="H156" s="3" t="s">
        <x:v>137</x:v>
      </x:c>
      <x:c r="I156" s="3"/>
    </x:row>
    <x:row r="157">
      <x:c r="A157" s="8"/>
      <x:c r="B157" s="3"/>
      <x:c r="C157" s="3"/>
      <x:c r="D157" s="5"/>
      <x:c r="E157" s="4" t="str">
        <x:f>IF(D157&gt;0,Parametri!$B$6,"")</x:f>
      </x:c>
      <x:c r="F157" s="4" t="str">
        <x:f t="shared" si="4"/>
      </x:c>
      <x:c r="G157" s="3"/>
      <x:c r="H157" s="3" t="s">
        <x:v>137</x:v>
      </x:c>
      <x:c r="I157" s="3"/>
    </x:row>
    <x:row r="158">
      <x:c r="A158" s="8"/>
      <x:c r="B158" s="3"/>
      <x:c r="C158" s="3"/>
      <x:c r="D158" s="5"/>
      <x:c r="E158" s="4" t="str">
        <x:f>IF(D158&gt;0,Parametri!$B$6,"")</x:f>
      </x:c>
      <x:c r="F158" s="4" t="str">
        <x:f t="shared" si="4"/>
      </x:c>
      <x:c r="G158" s="3"/>
      <x:c r="H158" s="3" t="s">
        <x:v>137</x:v>
      </x:c>
      <x:c r="I158" s="3"/>
    </x:row>
    <x:row r="159">
      <x:c r="A159" s="8"/>
      <x:c r="B159" s="3"/>
      <x:c r="C159" s="3"/>
      <x:c r="D159" s="5"/>
      <x:c r="E159" s="4" t="str">
        <x:f>IF(D159&gt;0,Parametri!$B$6,"")</x:f>
      </x:c>
      <x:c r="F159" s="4" t="str">
        <x:f t="shared" si="4"/>
      </x:c>
      <x:c r="G159" s="3"/>
      <x:c r="H159" s="3" t="s">
        <x:v>137</x:v>
      </x:c>
      <x:c r="I159" s="3"/>
    </x:row>
    <x:row r="160">
      <x:c r="A160" s="8"/>
      <x:c r="B160" s="3"/>
      <x:c r="C160" s="3"/>
      <x:c r="D160" s="5"/>
      <x:c r="E160" s="4" t="str">
        <x:f>IF(D160&gt;0,Parametri!$B$6,"")</x:f>
      </x:c>
      <x:c r="F160" s="4" t="str">
        <x:f t="shared" si="4"/>
      </x:c>
      <x:c r="G160" s="3"/>
      <x:c r="H160" s="3" t="s">
        <x:v>137</x:v>
      </x:c>
      <x:c r="I160" s="3"/>
    </x:row>
    <x:row r="161">
      <x:c r="A161" s="8"/>
      <x:c r="B161" s="3"/>
      <x:c r="C161" s="3"/>
      <x:c r="D161" s="5"/>
      <x:c r="E161" s="4" t="str">
        <x:f>IF(D161&gt;0,Parametri!$B$6,"")</x:f>
      </x:c>
      <x:c r="F161" s="4" t="str">
        <x:f t="shared" si="4"/>
      </x:c>
      <x:c r="G161" s="3"/>
      <x:c r="H161" s="3" t="s">
        <x:v>137</x:v>
      </x:c>
      <x:c r="I161" s="3"/>
    </x:row>
    <x:row r="162">
      <x:c r="A162" s="8"/>
      <x:c r="B162" s="3"/>
      <x:c r="C162" s="3"/>
      <x:c r="D162" s="5"/>
      <x:c r="E162" s="4" t="str">
        <x:f>IF(D162&gt;0,Parametri!$B$6,"")</x:f>
      </x:c>
      <x:c r="F162" s="4" t="str">
        <x:f t="shared" si="4"/>
      </x:c>
      <x:c r="G162" s="3"/>
      <x:c r="H162" s="3" t="s">
        <x:v>137</x:v>
      </x:c>
      <x:c r="I162" s="3"/>
    </x:row>
    <x:row r="163">
      <x:c r="A163" s="8"/>
      <x:c r="B163" s="3"/>
      <x:c r="C163" s="3"/>
      <x:c r="D163" s="5"/>
      <x:c r="E163" s="4" t="str">
        <x:f>IF(D163&gt;0,Parametri!$B$6,"")</x:f>
      </x:c>
      <x:c r="F163" s="4" t="str">
        <x:f t="shared" si="4"/>
      </x:c>
      <x:c r="G163" s="3"/>
      <x:c r="H163" s="3" t="s">
        <x:v>137</x:v>
      </x:c>
      <x:c r="I163" s="3"/>
    </x:row>
    <x:row r="164">
      <x:c r="A164" s="8"/>
      <x:c r="B164" s="3"/>
      <x:c r="C164" s="3"/>
      <x:c r="D164" s="5"/>
      <x:c r="E164" s="4" t="str">
        <x:f>IF(D164&gt;0,Parametri!$B$6,"")</x:f>
      </x:c>
      <x:c r="F164" s="4" t="str">
        <x:f t="shared" ref="F164:F195" si="5">IF(OR(D164="",E164=""),"",D164*E164)</x:f>
      </x:c>
      <x:c r="G164" s="3"/>
      <x:c r="H164" s="3" t="s">
        <x:v>137</x:v>
      </x:c>
      <x:c r="I164" s="3"/>
    </x:row>
    <x:row r="165">
      <x:c r="A165" s="8"/>
      <x:c r="B165" s="3"/>
      <x:c r="C165" s="3"/>
      <x:c r="D165" s="5"/>
      <x:c r="E165" s="4" t="str">
        <x:f>IF(D165&gt;0,Parametri!$B$6,"")</x:f>
      </x:c>
      <x:c r="F165" s="4" t="str">
        <x:f t="shared" si="5"/>
      </x:c>
      <x:c r="G165" s="3"/>
      <x:c r="H165" s="3" t="s">
        <x:v>137</x:v>
      </x:c>
      <x:c r="I165" s="3"/>
    </x:row>
    <x:row r="166">
      <x:c r="A166" s="8"/>
      <x:c r="B166" s="3"/>
      <x:c r="C166" s="3"/>
      <x:c r="D166" s="5"/>
      <x:c r="E166" s="4" t="str">
        <x:f>IF(D166&gt;0,Parametri!$B$6,"")</x:f>
      </x:c>
      <x:c r="F166" s="4" t="str">
        <x:f t="shared" si="5"/>
      </x:c>
      <x:c r="G166" s="3"/>
      <x:c r="H166" s="3" t="s">
        <x:v>137</x:v>
      </x:c>
      <x:c r="I166" s="3"/>
    </x:row>
    <x:row r="167">
      <x:c r="A167" s="8"/>
      <x:c r="B167" s="3"/>
      <x:c r="C167" s="3"/>
      <x:c r="D167" s="5"/>
      <x:c r="E167" s="4" t="str">
        <x:f>IF(D167&gt;0,Parametri!$B$6,"")</x:f>
      </x:c>
      <x:c r="F167" s="4" t="str">
        <x:f t="shared" si="5"/>
      </x:c>
      <x:c r="G167" s="3"/>
      <x:c r="H167" s="3" t="s">
        <x:v>137</x:v>
      </x:c>
      <x:c r="I167" s="3"/>
    </x:row>
    <x:row r="168">
      <x:c r="A168" s="8"/>
      <x:c r="B168" s="3"/>
      <x:c r="C168" s="3"/>
      <x:c r="D168" s="5"/>
      <x:c r="E168" s="4" t="str">
        <x:f>IF(D168&gt;0,Parametri!$B$6,"")</x:f>
      </x:c>
      <x:c r="F168" s="4" t="str">
        <x:f t="shared" si="5"/>
      </x:c>
      <x:c r="G168" s="3"/>
      <x:c r="H168" s="3" t="s">
        <x:v>137</x:v>
      </x:c>
      <x:c r="I168" s="3"/>
    </x:row>
    <x:row r="169">
      <x:c r="A169" s="8"/>
      <x:c r="B169" s="3"/>
      <x:c r="C169" s="3"/>
      <x:c r="D169" s="5"/>
      <x:c r="E169" s="4" t="str">
        <x:f>IF(D169&gt;0,Parametri!$B$6,"")</x:f>
      </x:c>
      <x:c r="F169" s="4" t="str">
        <x:f t="shared" si="5"/>
      </x:c>
      <x:c r="G169" s="3"/>
      <x:c r="H169" s="3" t="s">
        <x:v>137</x:v>
      </x:c>
      <x:c r="I169" s="3"/>
    </x:row>
    <x:row r="170">
      <x:c r="A170" s="8"/>
      <x:c r="B170" s="3"/>
      <x:c r="C170" s="3"/>
      <x:c r="D170" s="5"/>
      <x:c r="E170" s="4" t="str">
        <x:f>IF(D170&gt;0,Parametri!$B$6,"")</x:f>
      </x:c>
      <x:c r="F170" s="4" t="str">
        <x:f t="shared" si="5"/>
      </x:c>
      <x:c r="G170" s="3"/>
      <x:c r="H170" s="3" t="s">
        <x:v>137</x:v>
      </x:c>
      <x:c r="I170" s="3"/>
    </x:row>
    <x:row r="171">
      <x:c r="A171" s="8"/>
      <x:c r="B171" s="3"/>
      <x:c r="C171" s="3"/>
      <x:c r="D171" s="5"/>
      <x:c r="E171" s="4" t="str">
        <x:f>IF(D171&gt;0,Parametri!$B$6,"")</x:f>
      </x:c>
      <x:c r="F171" s="4" t="str">
        <x:f t="shared" si="5"/>
      </x:c>
      <x:c r="G171" s="3"/>
      <x:c r="H171" s="3" t="s">
        <x:v>137</x:v>
      </x:c>
      <x:c r="I171" s="3"/>
    </x:row>
    <x:row r="172">
      <x:c r="A172" s="8"/>
      <x:c r="B172" s="3"/>
      <x:c r="C172" s="3"/>
      <x:c r="D172" s="5"/>
      <x:c r="E172" s="4" t="str">
        <x:f>IF(D172&gt;0,Parametri!$B$6,"")</x:f>
      </x:c>
      <x:c r="F172" s="4" t="str">
        <x:f t="shared" si="5"/>
      </x:c>
      <x:c r="G172" s="3"/>
      <x:c r="H172" s="3" t="s">
        <x:v>137</x:v>
      </x:c>
      <x:c r="I172" s="3"/>
    </x:row>
    <x:row r="173">
      <x:c r="A173" s="8"/>
      <x:c r="B173" s="3"/>
      <x:c r="C173" s="3"/>
      <x:c r="D173" s="5"/>
      <x:c r="E173" s="4" t="str">
        <x:f>IF(D173&gt;0,Parametri!$B$6,"")</x:f>
      </x:c>
      <x:c r="F173" s="4" t="str">
        <x:f t="shared" si="5"/>
      </x:c>
      <x:c r="G173" s="3"/>
      <x:c r="H173" s="3" t="s">
        <x:v>137</x:v>
      </x:c>
      <x:c r="I173" s="3"/>
    </x:row>
    <x:row r="174">
      <x:c r="A174" s="8"/>
      <x:c r="B174" s="3"/>
      <x:c r="C174" s="3"/>
      <x:c r="D174" s="5"/>
      <x:c r="E174" s="4" t="str">
        <x:f>IF(D174&gt;0,Parametri!$B$6,"")</x:f>
      </x:c>
      <x:c r="F174" s="4" t="str">
        <x:f t="shared" si="5"/>
      </x:c>
      <x:c r="G174" s="3"/>
      <x:c r="H174" s="3" t="s">
        <x:v>137</x:v>
      </x:c>
      <x:c r="I174" s="3"/>
    </x:row>
    <x:row r="175">
      <x:c r="A175" s="8"/>
      <x:c r="B175" s="3"/>
      <x:c r="C175" s="3"/>
      <x:c r="D175" s="5"/>
      <x:c r="E175" s="4" t="str">
        <x:f>IF(D175&gt;0,Parametri!$B$6,"")</x:f>
      </x:c>
      <x:c r="F175" s="4" t="str">
        <x:f t="shared" si="5"/>
      </x:c>
      <x:c r="G175" s="3"/>
      <x:c r="H175" s="3" t="s">
        <x:v>137</x:v>
      </x:c>
      <x:c r="I175" s="3"/>
    </x:row>
    <x:row r="176">
      <x:c r="A176" s="8"/>
      <x:c r="B176" s="3"/>
      <x:c r="C176" s="3"/>
      <x:c r="D176" s="5"/>
      <x:c r="E176" s="4" t="str">
        <x:f>IF(D176&gt;0,Parametri!$B$6,"")</x:f>
      </x:c>
      <x:c r="F176" s="4" t="str">
        <x:f t="shared" si="5"/>
      </x:c>
      <x:c r="G176" s="3"/>
      <x:c r="H176" s="3" t="s">
        <x:v>137</x:v>
      </x:c>
      <x:c r="I176" s="3"/>
    </x:row>
    <x:row r="177">
      <x:c r="A177" s="8"/>
      <x:c r="B177" s="3"/>
      <x:c r="C177" s="3"/>
      <x:c r="D177" s="5"/>
      <x:c r="E177" s="4" t="str">
        <x:f>IF(D177&gt;0,Parametri!$B$6,"")</x:f>
      </x:c>
      <x:c r="F177" s="4" t="str">
        <x:f t="shared" si="5"/>
      </x:c>
      <x:c r="G177" s="3"/>
      <x:c r="H177" s="3" t="s">
        <x:v>137</x:v>
      </x:c>
      <x:c r="I177" s="3"/>
    </x:row>
    <x:row r="178">
      <x:c r="A178" s="8"/>
      <x:c r="B178" s="3"/>
      <x:c r="C178" s="3"/>
      <x:c r="D178" s="5"/>
      <x:c r="E178" s="4" t="str">
        <x:f>IF(D178&gt;0,Parametri!$B$6,"")</x:f>
      </x:c>
      <x:c r="F178" s="4" t="str">
        <x:f t="shared" si="5"/>
      </x:c>
      <x:c r="G178" s="3"/>
      <x:c r="H178" s="3" t="s">
        <x:v>137</x:v>
      </x:c>
      <x:c r="I178" s="3"/>
    </x:row>
    <x:row r="179">
      <x:c r="A179" s="8"/>
      <x:c r="B179" s="3"/>
      <x:c r="C179" s="3"/>
      <x:c r="D179" s="5"/>
      <x:c r="E179" s="4" t="str">
        <x:f>IF(D179&gt;0,Parametri!$B$6,"")</x:f>
      </x:c>
      <x:c r="F179" s="4" t="str">
        <x:f t="shared" si="5"/>
      </x:c>
      <x:c r="G179" s="3"/>
      <x:c r="H179" s="3" t="s">
        <x:v>137</x:v>
      </x:c>
      <x:c r="I179" s="3"/>
    </x:row>
    <x:row r="180">
      <x:c r="A180" s="8"/>
      <x:c r="B180" s="3"/>
      <x:c r="C180" s="3"/>
      <x:c r="D180" s="5"/>
      <x:c r="E180" s="4" t="str">
        <x:f>IF(D180&gt;0,Parametri!$B$6,"")</x:f>
      </x:c>
      <x:c r="F180" s="4" t="str">
        <x:f t="shared" si="5"/>
      </x:c>
      <x:c r="G180" s="3"/>
      <x:c r="H180" s="3" t="s">
        <x:v>137</x:v>
      </x:c>
      <x:c r="I180" s="3"/>
    </x:row>
    <x:row r="181">
      <x:c r="A181" s="8"/>
      <x:c r="B181" s="3"/>
      <x:c r="C181" s="3"/>
      <x:c r="D181" s="5"/>
      <x:c r="E181" s="4" t="str">
        <x:f>IF(D181&gt;0,Parametri!$B$6,"")</x:f>
      </x:c>
      <x:c r="F181" s="4" t="str">
        <x:f t="shared" si="5"/>
      </x:c>
      <x:c r="G181" s="3"/>
      <x:c r="H181" s="3" t="s">
        <x:v>137</x:v>
      </x:c>
      <x:c r="I181" s="3"/>
    </x:row>
    <x:row r="182">
      <x:c r="A182" s="8"/>
      <x:c r="B182" s="3"/>
      <x:c r="C182" s="3"/>
      <x:c r="D182" s="5"/>
      <x:c r="E182" s="4" t="str">
        <x:f>IF(D182&gt;0,Parametri!$B$6,"")</x:f>
      </x:c>
      <x:c r="F182" s="4" t="str">
        <x:f t="shared" si="5"/>
      </x:c>
      <x:c r="G182" s="3"/>
      <x:c r="H182" s="3" t="s">
        <x:v>137</x:v>
      </x:c>
      <x:c r="I182" s="3"/>
    </x:row>
    <x:row r="183">
      <x:c r="A183" s="8"/>
      <x:c r="B183" s="3"/>
      <x:c r="C183" s="3"/>
      <x:c r="D183" s="5"/>
      <x:c r="E183" s="4" t="str">
        <x:f>IF(D183&gt;0,Parametri!$B$6,"")</x:f>
      </x:c>
      <x:c r="F183" s="4" t="str">
        <x:f t="shared" si="5"/>
      </x:c>
      <x:c r="G183" s="3"/>
      <x:c r="H183" s="3" t="s">
        <x:v>137</x:v>
      </x:c>
      <x:c r="I183" s="3"/>
    </x:row>
    <x:row r="184">
      <x:c r="A184" s="8"/>
      <x:c r="B184" s="3"/>
      <x:c r="C184" s="3"/>
      <x:c r="D184" s="5"/>
      <x:c r="E184" s="4" t="str">
        <x:f>IF(D184&gt;0,Parametri!$B$6,"")</x:f>
      </x:c>
      <x:c r="F184" s="4" t="str">
        <x:f t="shared" si="5"/>
      </x:c>
      <x:c r="G184" s="3"/>
      <x:c r="H184" s="3" t="s">
        <x:v>137</x:v>
      </x:c>
      <x:c r="I184" s="3"/>
    </x:row>
    <x:row r="185">
      <x:c r="A185" s="8"/>
      <x:c r="B185" s="3"/>
      <x:c r="C185" s="3"/>
      <x:c r="D185" s="5"/>
      <x:c r="E185" s="4" t="str">
        <x:f>IF(D185&gt;0,Parametri!$B$6,"")</x:f>
      </x:c>
      <x:c r="F185" s="4" t="str">
        <x:f t="shared" si="5"/>
      </x:c>
      <x:c r="G185" s="3"/>
      <x:c r="H185" s="3" t="s">
        <x:v>137</x:v>
      </x:c>
      <x:c r="I185" s="3"/>
    </x:row>
    <x:row r="186">
      <x:c r="A186" s="8"/>
      <x:c r="B186" s="3"/>
      <x:c r="C186" s="3"/>
      <x:c r="D186" s="5"/>
      <x:c r="E186" s="4" t="str">
        <x:f>IF(D186&gt;0,Parametri!$B$6,"")</x:f>
      </x:c>
      <x:c r="F186" s="4" t="str">
        <x:f t="shared" si="5"/>
      </x:c>
      <x:c r="G186" s="3"/>
      <x:c r="H186" s="3" t="s">
        <x:v>137</x:v>
      </x:c>
      <x:c r="I186" s="3"/>
    </x:row>
    <x:row r="187">
      <x:c r="A187" s="8"/>
      <x:c r="B187" s="3"/>
      <x:c r="C187" s="3"/>
      <x:c r="D187" s="5"/>
      <x:c r="E187" s="4" t="str">
        <x:f>IF(D187&gt;0,Parametri!$B$6,"")</x:f>
      </x:c>
      <x:c r="F187" s="4" t="str">
        <x:f t="shared" si="5"/>
      </x:c>
      <x:c r="G187" s="3"/>
      <x:c r="H187" s="3" t="s">
        <x:v>137</x:v>
      </x:c>
      <x:c r="I187" s="3"/>
    </x:row>
    <x:row r="188">
      <x:c r="A188" s="8"/>
      <x:c r="B188" s="3"/>
      <x:c r="C188" s="3"/>
      <x:c r="D188" s="5"/>
      <x:c r="E188" s="4" t="str">
        <x:f>IF(D188&gt;0,Parametri!$B$6,"")</x:f>
      </x:c>
      <x:c r="F188" s="4" t="str">
        <x:f t="shared" si="5"/>
      </x:c>
      <x:c r="G188" s="3"/>
      <x:c r="H188" s="3" t="s">
        <x:v>137</x:v>
      </x:c>
      <x:c r="I188" s="3"/>
    </x:row>
    <x:row r="189">
      <x:c r="A189" s="8"/>
      <x:c r="B189" s="3"/>
      <x:c r="C189" s="3"/>
      <x:c r="D189" s="5"/>
      <x:c r="E189" s="4" t="str">
        <x:f>IF(D189&gt;0,Parametri!$B$6,"")</x:f>
      </x:c>
      <x:c r="F189" s="4" t="str">
        <x:f t="shared" si="5"/>
      </x:c>
      <x:c r="G189" s="3"/>
      <x:c r="H189" s="3" t="s">
        <x:v>137</x:v>
      </x:c>
      <x:c r="I189" s="3"/>
    </x:row>
    <x:row r="190">
      <x:c r="A190" s="8"/>
      <x:c r="B190" s="3"/>
      <x:c r="C190" s="3"/>
      <x:c r="D190" s="5"/>
      <x:c r="E190" s="4" t="str">
        <x:f>IF(D190&gt;0,Parametri!$B$6,"")</x:f>
      </x:c>
      <x:c r="F190" s="4" t="str">
        <x:f t="shared" si="5"/>
      </x:c>
      <x:c r="G190" s="3"/>
      <x:c r="H190" s="3" t="s">
        <x:v>137</x:v>
      </x:c>
      <x:c r="I190" s="3"/>
    </x:row>
    <x:row r="191">
      <x:c r="A191" s="8"/>
      <x:c r="B191" s="3"/>
      <x:c r="C191" s="3"/>
      <x:c r="D191" s="5"/>
      <x:c r="E191" s="4" t="str">
        <x:f>IF(D191&gt;0,Parametri!$B$6,"")</x:f>
      </x:c>
      <x:c r="F191" s="4" t="str">
        <x:f t="shared" si="5"/>
      </x:c>
      <x:c r="G191" s="3"/>
      <x:c r="H191" s="3" t="s">
        <x:v>137</x:v>
      </x:c>
      <x:c r="I191" s="3"/>
    </x:row>
    <x:row r="192">
      <x:c r="A192" s="8"/>
      <x:c r="B192" s="3"/>
      <x:c r="C192" s="3"/>
      <x:c r="D192" s="5"/>
      <x:c r="E192" s="4" t="str">
        <x:f>IF(D192&gt;0,Parametri!$B$6,"")</x:f>
      </x:c>
      <x:c r="F192" s="4" t="str">
        <x:f t="shared" si="5"/>
      </x:c>
      <x:c r="G192" s="3"/>
      <x:c r="H192" s="3" t="s">
        <x:v>137</x:v>
      </x:c>
      <x:c r="I192" s="3"/>
    </x:row>
    <x:row r="193">
      <x:c r="A193" s="8"/>
      <x:c r="B193" s="3"/>
      <x:c r="C193" s="3"/>
      <x:c r="D193" s="5"/>
      <x:c r="E193" s="4" t="str">
        <x:f>IF(D193&gt;0,Parametri!$B$6,"")</x:f>
      </x:c>
      <x:c r="F193" s="4" t="str">
        <x:f t="shared" si="5"/>
      </x:c>
      <x:c r="G193" s="3"/>
      <x:c r="H193" s="3" t="s">
        <x:v>137</x:v>
      </x:c>
      <x:c r="I193" s="3"/>
    </x:row>
    <x:row r="194">
      <x:c r="A194" s="8"/>
      <x:c r="B194" s="3"/>
      <x:c r="C194" s="3"/>
      <x:c r="D194" s="5"/>
      <x:c r="E194" s="4" t="str">
        <x:f>IF(D194&gt;0,Parametri!$B$6,"")</x:f>
      </x:c>
      <x:c r="F194" s="4" t="str">
        <x:f t="shared" si="5"/>
      </x:c>
      <x:c r="G194" s="3"/>
      <x:c r="H194" s="3" t="s">
        <x:v>137</x:v>
      </x:c>
      <x:c r="I194" s="3"/>
    </x:row>
    <x:row r="195">
      <x:c r="A195" s="8"/>
      <x:c r="B195" s="3"/>
      <x:c r="C195" s="3"/>
      <x:c r="D195" s="5"/>
      <x:c r="E195" s="4" t="str">
        <x:f>IF(D195&gt;0,Parametri!$B$6,"")</x:f>
      </x:c>
      <x:c r="F195" s="4" t="str">
        <x:f t="shared" si="5"/>
      </x:c>
      <x:c r="G195" s="3"/>
      <x:c r="H195" s="3" t="s">
        <x:v>137</x:v>
      </x:c>
      <x:c r="I195" s="3"/>
    </x:row>
    <x:row r="196">
      <x:c r="A196" s="8"/>
      <x:c r="B196" s="3"/>
      <x:c r="C196" s="3"/>
      <x:c r="D196" s="5"/>
      <x:c r="E196" s="4" t="str">
        <x:f>IF(D196&gt;0,Parametri!$B$6,"")</x:f>
      </x:c>
      <x:c r="F196" s="4" t="str">
        <x:f t="shared" ref="F196:F203" si="6">IF(OR(D196="",E196=""),"",D196*E196)</x:f>
      </x:c>
      <x:c r="G196" s="3"/>
      <x:c r="H196" s="3" t="s">
        <x:v>137</x:v>
      </x:c>
      <x:c r="I196" s="3"/>
    </x:row>
    <x:row r="197">
      <x:c r="A197" s="8"/>
      <x:c r="B197" s="3"/>
      <x:c r="C197" s="3"/>
      <x:c r="D197" s="5"/>
      <x:c r="E197" s="4" t="str">
        <x:f>IF(D197&gt;0,Parametri!$B$6,"")</x:f>
      </x:c>
      <x:c r="F197" s="4" t="str">
        <x:f t="shared" si="6"/>
      </x:c>
      <x:c r="G197" s="3"/>
      <x:c r="H197" s="3" t="s">
        <x:v>137</x:v>
      </x:c>
      <x:c r="I197" s="3"/>
    </x:row>
    <x:row r="198">
      <x:c r="A198" s="8"/>
      <x:c r="B198" s="3"/>
      <x:c r="C198" s="3"/>
      <x:c r="D198" s="5"/>
      <x:c r="E198" s="4" t="str">
        <x:f>IF(D198&gt;0,Parametri!$B$6,"")</x:f>
      </x:c>
      <x:c r="F198" s="4" t="str">
        <x:f t="shared" si="6"/>
      </x:c>
      <x:c r="G198" s="3"/>
      <x:c r="H198" s="3" t="s">
        <x:v>137</x:v>
      </x:c>
      <x:c r="I198" s="3"/>
    </x:row>
    <x:row r="199">
      <x:c r="A199" s="8"/>
      <x:c r="B199" s="3"/>
      <x:c r="C199" s="3"/>
      <x:c r="D199" s="5"/>
      <x:c r="E199" s="4" t="str">
        <x:f>IF(D199&gt;0,Parametri!$B$6,"")</x:f>
      </x:c>
      <x:c r="F199" s="4" t="str">
        <x:f t="shared" si="6"/>
      </x:c>
      <x:c r="G199" s="3"/>
      <x:c r="H199" s="3" t="s">
        <x:v>137</x:v>
      </x:c>
      <x:c r="I199" s="3"/>
    </x:row>
    <x:row r="200">
      <x:c r="A200" s="8"/>
      <x:c r="B200" s="3"/>
      <x:c r="C200" s="3"/>
      <x:c r="D200" s="5"/>
      <x:c r="E200" s="4" t="str">
        <x:f>IF(D200&gt;0,Parametri!$B$6,"")</x:f>
      </x:c>
      <x:c r="F200" s="4" t="str">
        <x:f t="shared" si="6"/>
      </x:c>
      <x:c r="G200" s="3"/>
      <x:c r="H200" s="3" t="s">
        <x:v>137</x:v>
      </x:c>
      <x:c r="I200" s="3"/>
    </x:row>
    <x:row r="201">
      <x:c r="A201" s="8"/>
      <x:c r="B201" s="3"/>
      <x:c r="C201" s="3"/>
      <x:c r="D201" s="5"/>
      <x:c r="E201" s="4" t="str">
        <x:f>IF(D201&gt;0,Parametri!$B$6,"")</x:f>
      </x:c>
      <x:c r="F201" s="4" t="str">
        <x:f t="shared" si="6"/>
      </x:c>
      <x:c r="G201" s="3"/>
      <x:c r="H201" s="3" t="s">
        <x:v>137</x:v>
      </x:c>
      <x:c r="I201" s="3"/>
    </x:row>
    <x:row r="202">
      <x:c r="A202" s="8"/>
      <x:c r="B202" s="3"/>
      <x:c r="C202" s="3"/>
      <x:c r="D202" s="5"/>
      <x:c r="E202" s="4" t="str">
        <x:f>IF(D202&gt;0,Parametri!$B$6,"")</x:f>
      </x:c>
      <x:c r="F202" s="4" t="str">
        <x:f t="shared" si="6"/>
      </x:c>
      <x:c r="G202" s="3"/>
      <x:c r="H202" s="3" t="s">
        <x:v>137</x:v>
      </x:c>
      <x:c r="I202" s="3"/>
    </x:row>
    <x:row r="203">
      <x:c r="A203" s="8"/>
      <x:c r="B203" s="3"/>
      <x:c r="C203" s="3"/>
      <x:c r="D203" s="5"/>
      <x:c r="E203" s="4" t="str">
        <x:f>IF(D203&gt;0,Parametri!$B$6,"")</x:f>
      </x:c>
      <x:c r="F203" s="4" t="str">
        <x:f t="shared" si="6"/>
      </x:c>
      <x:c r="G203" s="3"/>
      <x:c r="H203" s="3" t="s">
        <x:v>137</x:v>
      </x:c>
      <x:c r="I203" s="3"/>
    </x:row>
  </x:sheetData>
  <x:mergeCells>
    <x:mergeCell ref="A1:I1"/>
  </x:mergeCells>
  <x:conditionalFormatting sqref="H4:H203">
    <x:cfRule type="expression" dxfId="13" priority="1">
      <x:formula>H4="Pagato"</x:formula>
    </x:cfRule>
    <x:cfRule type="expression" dxfId="12" priority="2">
      <x:formula>H4="Da pagare"</x:formula>
    </x:cfRule>
    <x:cfRule type="expression" dxfId="11" priority="3">
      <x:formula>H4="Parziale"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5ad750f3dfb4a8f"/>
  </x:tableParts>
</x:worksheet>
</file>

<file path=xl/worksheets/sheet6.xml><?xml version="1.0" encoding="utf-8"?>
<x:worksheet xmlns:x="http://schemas.openxmlformats.org/spreadsheetml/2006/main">
  <x:sheetFormatPr baseColWidth="10" defaultColWidth="8.83203125" defaultRowHeight="15"/>
  <x:cols>
    <x:col min="1" max="1" width="14" style="1" customWidth="1"/>
    <x:col min="2" max="2" width="24" style="1" customWidth="1"/>
    <x:col min="3" max="3" width="28" style="1" customWidth="1"/>
    <x:col min="4" max="4" width="12" style="1" customWidth="1"/>
    <x:col min="5" max="5" width="12.6640625" style="1" customWidth="1"/>
    <x:col min="6" max="6" width="7" style="1" customWidth="1"/>
    <x:col min="7" max="7" width="11.6640625" style="1" customWidth="1"/>
    <x:col min="8" max="8" width="9.5" style="1" customWidth="1"/>
    <x:col min="9" max="9" width="14" style="1" customWidth="1"/>
    <x:col min="10" max="10" width="16" style="1" customWidth="1"/>
    <x:col min="11" max="11" width="36" style="1" customWidth="1"/>
    <x:col min="12" max="16384" width="8.83203125" style="1" customWidth="0"/>
    <x:col min="12" max="12" width="20" hidden="0" customWidth="1"/>
  </x:cols>
  <x:sheetData>
    <x:row r="1" ht="37.25" customHeight="1">
      <x:c r="A1" s="14" t="s">
        <x:v>138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t="str">
        <x:v>Venditore affidatario</x:v>
      </x:c>
    </x:row>
    <x:row r="2">
      <x:c r="L2"/>
    </x:row>
    <x:row r="3" ht="32" customHeight="1">
      <x:c r="A3" s="2" t="s">
        <x:v>125</x:v>
      </x:c>
      <x:c r="B3" s="2" t="s">
        <x:v>139</x:v>
      </x:c>
      <x:c r="C3" s="2" t="s">
        <x:v>140</x:v>
      </x:c>
      <x:c r="D3" s="2" t="s">
        <x:v>128</x:v>
      </x:c>
      <x:c r="E3" s="2" t="s">
        <x:v>141</x:v>
      </x:c>
      <x:c r="F3" s="2" t="s">
        <x:v>142</x:v>
      </x:c>
      <x:c r="G3" s="2" t="s">
        <x:v>143</x:v>
      </x:c>
      <x:c r="H3" s="2" t="s">
        <x:v>144</x:v>
      </x:c>
      <x:c r="I3" s="2" t="s">
        <x:v>145</x:v>
      </x:c>
      <x:c r="J3" s="2" t="s">
        <x:v>98</x:v>
      </x:c>
      <x:c r="K3" s="2" t="s">
        <x:v>15</x:v>
      </x:c>
      <x:c r="L3" t="str">
        <x:v>Venditore</x:v>
      </x:c>
    </x:row>
    <x:row r="4">
      <x:c r="A4" s="8" t="s">
        <x:v>101</x:v>
      </x:c>
      <x:c r="B4" s="3" t="s">
        <x:v>100</x:v>
      </x:c>
      <x:c r="C4" s="3" t="s">
        <x:v>146</x:v>
      </x:c>
      <x:c r="D4" s="5">
        <x:v>2</x:v>
      </x:c>
      <x:c r="E4" s="13">
        <x:v>15</x:v>
      </x:c>
      <x:c r="F4" s="4">
        <x:v>0</x:v>
      </x:c>
      <x:c r="G4" s="4">
        <x:v>0</x:v>
      </x:c>
      <x:c r="H4" s="4" t="str">
        <x:f t="shared" ref="H4:H67" si="0">IF(F4="","",F4-G4)</x:f>
      </x:c>
      <x:c r="I4" s="3" t="s">
        <x:v>147</x:v>
      </x:c>
      <x:c r="J4" s="3"/>
      <x:c r="K4" s="3"/>
      <x:c r="L4"/>
    </x:row>
    <x:row r="5">
      <x:c r="A5" s="8" t="s">
        <x:v>101</x:v>
      </x:c>
      <x:c r="B5" s="3" t="s">
        <x:v>108</x:v>
      </x:c>
      <x:c r="C5" s="3" t="s">
        <x:v>146</x:v>
      </x:c>
      <x:c r="D5" s="5">
        <x:v>2</x:v>
      </x:c>
      <x:c r="E5" s="13">
        <x:v>15</x:v>
      </x:c>
      <x:c r="F5" s="4">
        <x:v>0</x:v>
      </x:c>
      <x:c r="G5" s="4">
        <x:v>0</x:v>
      </x:c>
      <x:c r="H5" s="4">
        <x:f t="shared" si="0"/>
        <x:v>0</x:v>
      </x:c>
      <x:c r="I5" s="3" t="s">
        <x:v>147</x:v>
      </x:c>
      <x:c r="J5" s="3"/>
      <x:c r="K5" s="3"/>
      <x:c r="L5"/>
    </x:row>
    <x:row r="6">
      <x:c r="A6" s="8" t="s">
        <x:v>101</x:v>
      </x:c>
      <x:c r="B6" s="3" t="s">
        <x:v>115</x:v>
      </x:c>
      <x:c r="C6" s="3" t="s">
        <x:v>146</x:v>
      </x:c>
      <x:c r="D6" s="5">
        <x:v>2</x:v>
      </x:c>
      <x:c r="E6" s="13">
        <x:v>15</x:v>
      </x:c>
      <x:c r="F6" s="4">
        <x:v>0</x:v>
      </x:c>
      <x:c r="G6" s="4">
        <x:v>0</x:v>
      </x:c>
      <x:c r="H6" s="4">
        <x:f t="shared" si="0"/>
        <x:v>0</x:v>
      </x:c>
      <x:c r="I6" s="3" t="s">
        <x:v>147</x:v>
      </x:c>
      <x:c r="J6" s="3"/>
      <x:c r="K6" s="3"/>
      <x:c r="L6"/>
    </x:row>
    <x:row r="7">
      <x:c r="A7" s="8" t="s">
        <x:v>101</x:v>
      </x:c>
      <x:c r="B7" s="3" t="s">
        <x:v>116</x:v>
      </x:c>
      <x:c r="C7" s="3" t="s">
        <x:v>146</x:v>
      </x:c>
      <x:c r="D7" s="5">
        <x:v>2</x:v>
      </x:c>
      <x:c r="E7" s="13">
        <x:v>15</x:v>
      </x:c>
      <x:c r="F7" s="4">
        <x:v>0</x:v>
      </x:c>
      <x:c r="G7" s="4">
        <x:v>0</x:v>
      </x:c>
      <x:c r="H7" s="4">
        <x:f t="shared" si="0"/>
        <x:v>0</x:v>
      </x:c>
      <x:c r="I7" s="3" t="s">
        <x:v>147</x:v>
      </x:c>
      <x:c r="J7" s="3"/>
      <x:c r="K7" s="3"/>
      <x:c r="L7"/>
    </x:row>
    <x:row r="8">
      <x:c r="A8" s="8" t="s">
        <x:v>101</x:v>
      </x:c>
      <x:c r="B8" s="3" t="s">
        <x:v>112</x:v>
      </x:c>
      <x:c r="C8" s="3" t="s">
        <x:v>146</x:v>
      </x:c>
      <x:c r="D8" s="5">
        <x:v>2</x:v>
      </x:c>
      <x:c r="E8" s="13">
        <x:v>15</x:v>
      </x:c>
      <x:c r="F8" s="4">
        <x:v>0</x:v>
      </x:c>
      <x:c r="G8" s="4">
        <x:v>0</x:v>
      </x:c>
      <x:c r="H8" s="4">
        <x:f t="shared" si="0"/>
        <x:v>0</x:v>
      </x:c>
      <x:c r="I8" s="3" t="s">
        <x:v>147</x:v>
      </x:c>
      <x:c r="J8" s="3"/>
      <x:c r="K8" s="3"/>
      <x:c r="L8"/>
    </x:row>
    <x:row r="9">
      <x:c r="A9" s="8" t="s">
        <x:v>101</x:v>
      </x:c>
      <x:c r="B9" s="3" t="s">
        <x:v>118</x:v>
      </x:c>
      <x:c r="C9" s="3" t="s">
        <x:v>146</x:v>
      </x:c>
      <x:c r="D9" s="5">
        <x:v>2</x:v>
      </x:c>
      <x:c r="E9" s="13">
        <x:v>15</x:v>
      </x:c>
      <x:c r="F9" s="4">
        <x:v>0</x:v>
      </x:c>
      <x:c r="G9" s="4">
        <x:v>0</x:v>
      </x:c>
      <x:c r="H9" s="4">
        <x:f t="shared" si="0"/>
        <x:v>0</x:v>
      </x:c>
      <x:c r="I9" s="3" t="s">
        <x:v>147</x:v>
      </x:c>
      <x:c r="J9" s="3"/>
      <x:c r="K9" s="3"/>
      <x:c r="L9"/>
    </x:row>
    <x:row r="10">
      <x:c r="A10" s="8" t="s">
        <x:v>101</x:v>
      </x:c>
      <x:c r="B10" s="3" t="s">
        <x:v>148</x:v>
      </x:c>
      <x:c r="C10" s="3" t="s">
        <x:v>146</x:v>
      </x:c>
      <x:c r="D10" s="5">
        <x:v>1</x:v>
      </x:c>
      <x:c r="E10" s="13">
        <x:v>15</x:v>
      </x:c>
      <x:c r="F10" s="4">
        <x:v>0</x:v>
      </x:c>
      <x:c r="G10" s="4">
        <x:v>0</x:v>
      </x:c>
      <x:c r="H10" s="4">
        <x:f t="shared" si="0"/>
        <x:v>0</x:v>
      </x:c>
      <x:c r="I10" s="3" t="s">
        <x:v>147</x:v>
      </x:c>
      <x:c r="J10" s="3"/>
      <x:c r="K10" s="3"/>
      <x:c r="L10"/>
    </x:row>
    <x:row r="11">
      <x:c r="A11" s="8" t="s">
        <x:v>120</x:v>
      </x:c>
      <x:c r="B11" s="3" t="s">
        <x:v>149</x:v>
      </x:c>
      <x:c r="C11" s="3" t="s">
        <x:v>146</x:v>
      </x:c>
      <x:c r="D11" s="5">
        <x:v>2</x:v>
      </x:c>
      <x:c r="E11" s="13">
        <x:v>12</x:v>
      </x:c>
      <x:c r="F11" s="4" t="n">
        <x:f t="shared" ref="F11:F74" si="1">IF(OR(D11="",E11=""),"",D11*E11)</x:f>
        <x:v>24</x:v>
      </x:c>
      <x:c r="G11" s="4" t="n">
        <x:f>IF(D11="","",D11*Parametri!$B$6)</x:f>
        <x:v>5.4</x:v>
      </x:c>
      <x:c r="H11" s="4">
        <x:f t="shared" si="0"/>
        <x:v>18.600000000000001</x:v>
      </x:c>
      <x:c r="I11" s="3" t="s">
        <x:v>147</x:v>
      </x:c>
      <x:c r="J11" s="3" t="s">
        <x:v>150</x:v>
      </x:c>
      <x:c r="K11" s="3" t="s">
        <x:v>151</x:v>
      </x:c>
      <x:c r="L11"/>
    </x:row>
    <x:row r="12">
      <x:c r="A12" s="8" t="s">
        <x:v>120</x:v>
      </x:c>
      <x:c r="B12" s="3" t="s">
        <x:v>152</x:v>
      </x:c>
      <x:c r="C12" s="3" t="s">
        <x:v>146</x:v>
      </x:c>
      <x:c r="D12" s="5">
        <x:v>1</x:v>
      </x:c>
      <x:c r="E12" s="13">
        <x:v>12</x:v>
      </x:c>
      <x:c r="F12" s="4">
        <x:f t="shared" si="1"/>
        <x:v>12</x:v>
      </x:c>
      <x:c r="G12" s="4" t="n">
        <x:f>IF(D12="","",D12*Parametri!$B$6)</x:f>
        <x:v>2.7</x:v>
      </x:c>
      <x:c r="H12" s="4">
        <x:f t="shared" si="0"/>
        <x:v>9.3000000000000007</x:v>
      </x:c>
      <x:c r="I12" s="3" t="s">
        <x:v>147</x:v>
      </x:c>
      <x:c r="J12" s="3" t="s">
        <x:v>102</x:v>
      </x:c>
      <x:c r="K12" s="3" t="s">
        <x:v>151</x:v>
      </x:c>
      <x:c r="L12"/>
    </x:row>
    <x:row r="13">
      <x:c r="A13" s="8" t="s">
        <x:v>153</x:v>
      </x:c>
      <x:c r="B13" s="3" t="s">
        <x:v>154</x:v>
      </x:c>
      <x:c r="C13" s="3" t="s">
        <x:v>146</x:v>
      </x:c>
      <x:c r="D13" s="5">
        <x:v>1</x:v>
      </x:c>
      <x:c r="E13" s="13">
        <x:v>12</x:v>
      </x:c>
      <x:c r="F13" s="4">
        <x:f t="shared" si="1"/>
        <x:v>12</x:v>
      </x:c>
      <x:c r="G13" s="4" t="n">
        <x:f>IF(D13="","",D13*Parametri!$B$6)</x:f>
        <x:v>2.7</x:v>
      </x:c>
      <x:c r="H13" s="4">
        <x:f t="shared" si="0"/>
        <x:v>9.3000000000000007</x:v>
      </x:c>
      <x:c r="I13" s="3" t="s">
        <x:v>147</x:v>
      </x:c>
      <x:c r="J13" s="3" t="s">
        <x:v>102</x:v>
      </x:c>
      <x:c r="K13" s="3" t="s">
        <x:v>151</x:v>
      </x:c>
      <x:c r="L13"/>
    </x:row>
    <x:row r="14">
      <x:c r="A14" s="8" t="s">
        <x:v>155</x:v>
      </x:c>
      <x:c r="B14" s="3" t="s">
        <x:v>156</x:v>
      </x:c>
      <x:c r="C14" s="3" t="s">
        <x:v>146</x:v>
      </x:c>
      <x:c r="D14" s="5">
        <x:v>2</x:v>
      </x:c>
      <x:c r="E14" s="13">
        <x:v>12</x:v>
      </x:c>
      <x:c r="F14" s="4">
        <x:f t="shared" si="1"/>
        <x:v>24</x:v>
      </x:c>
      <x:c r="G14" s="4" t="n">
        <x:f>IF(D14="","",D14*Parametri!$B$6)</x:f>
        <x:v>5.4</x:v>
      </x:c>
      <x:c r="H14" s="4">
        <x:f t="shared" si="0"/>
        <x:v>18.600000000000001</x:v>
      </x:c>
      <x:c r="I14" s="3" t="s">
        <x:v>147</x:v>
      </x:c>
      <x:c r="J14" s="3" t="s">
        <x:v>102</x:v>
      </x:c>
      <x:c r="K14" s="3" t="s">
        <x:v>151</x:v>
      </x:c>
      <x:c r="L14"/>
    </x:row>
    <x:row r="15">
      <x:c r="A15" s="8" t="s">
        <x:v>155</x:v>
      </x:c>
      <x:c r="B15" s="3" t="s">
        <x:v>157</x:v>
      </x:c>
      <x:c r="C15" s="3" t="s">
        <x:v>146</x:v>
      </x:c>
      <x:c r="D15" s="5">
        <x:v>1</x:v>
      </x:c>
      <x:c r="E15" s="13">
        <x:v>12</x:v>
      </x:c>
      <x:c r="F15" s="4">
        <x:f t="shared" si="1"/>
        <x:v>12</x:v>
      </x:c>
      <x:c r="G15" s="4" t="n">
        <x:f>IF(D15="","",D15*Parametri!$B$6)</x:f>
        <x:v>2.7</x:v>
      </x:c>
      <x:c r="H15" s="4">
        <x:f t="shared" si="0"/>
        <x:v>9.3000000000000007</x:v>
      </x:c>
      <x:c r="I15" s="3" t="s">
        <x:v>147</x:v>
      </x:c>
      <x:c r="J15" s="3" t="s">
        <x:v>150</x:v>
      </x:c>
      <x:c r="K15" s="3" t="s">
        <x:v>151</x:v>
      </x:c>
      <x:c r="L15"/>
    </x:row>
    <x:row r="16">
      <x:c r="A16" s="8" t="s">
        <x:v>155</x:v>
      </x:c>
      <x:c r="B16" s="3" t="s">
        <x:v>156</x:v>
      </x:c>
      <x:c r="C16" s="3" t="s">
        <x:v>146</x:v>
      </x:c>
      <x:c r="D16" s="5">
        <x:v>1</x:v>
      </x:c>
      <x:c r="E16" s="13">
        <x:v>12</x:v>
      </x:c>
      <x:c r="F16" s="4">
        <x:v>0</x:v>
      </x:c>
      <x:c r="G16" s="4">
        <x:v>0</x:v>
      </x:c>
      <x:c r="H16" s="4">
        <x:v>0</x:v>
      </x:c>
      <x:c r="I16" s="3" t="s">
        <x:v>147</x:v>
      </x:c>
      <x:c r="J16" s="3"/>
      <x:c r="K16" s="3"/>
      <x:c r="L16"/>
    </x:row>
    <x:row r="17">
      <x:c r="A17" s="8" t="s">
        <x:v>155</x:v>
      </x:c>
      <x:c r="B17" s="3" t="s">
        <x:v>109</x:v>
      </x:c>
      <x:c r="C17" s="3" t="s">
        <x:v>146</x:v>
      </x:c>
      <x:c r="D17" s="5">
        <x:v>2</x:v>
      </x:c>
      <x:c r="E17" s="13">
        <x:v>12</x:v>
      </x:c>
      <x:c r="F17" s="4">
        <x:v>0</x:v>
      </x:c>
      <x:c r="G17" s="4">
        <x:v>0</x:v>
      </x:c>
      <x:c r="H17" s="4">
        <x:v>0</x:v>
      </x:c>
      <x:c r="I17" s="3" t="s">
        <x:v>147</x:v>
      </x:c>
      <x:c r="J17" s="3"/>
      <x:c r="K17" s="3"/>
      <x:c r="L17"/>
    </x:row>
    <x:row r="18">
      <x:c r="A18" s="8" t="s">
        <x:v>155</x:v>
      </x:c>
      <x:c r="B18" s="3" t="s">
        <x:v>106</x:v>
      </x:c>
      <x:c r="C18" s="3" t="s">
        <x:v>146</x:v>
      </x:c>
      <x:c r="D18" s="5">
        <x:v>2</x:v>
      </x:c>
      <x:c r="E18" s="13">
        <x:v>12</x:v>
      </x:c>
      <x:c r="F18" s="4">
        <x:v>0</x:v>
      </x:c>
      <x:c r="G18" s="4">
        <x:v>0</x:v>
      </x:c>
      <x:c r="H18" s="4">
        <x:v>0</x:v>
      </x:c>
      <x:c r="I18" s="3" t="s">
        <x:v>147</x:v>
      </x:c>
      <x:c r="J18" s="3"/>
      <x:c r="K18" s="3"/>
      <x:c r="L18"/>
    </x:row>
    <x:row r="19">
      <x:c r="A19" s="8" t="s">
        <x:v>155</x:v>
      </x:c>
      <x:c r="B19" s="3" t="s">
        <x:v>113</x:v>
      </x:c>
      <x:c r="C19" s="3" t="s">
        <x:v>146</x:v>
      </x:c>
      <x:c r="D19" s="5">
        <x:v>2</x:v>
      </x:c>
      <x:c r="E19" s="13">
        <x:v>12</x:v>
      </x:c>
      <x:c r="F19" s="4">
        <x:v>0</x:v>
      </x:c>
      <x:c r="G19" s="4">
        <x:v>0</x:v>
      </x:c>
      <x:c r="H19" s="4">
        <x:v>0</x:v>
      </x:c>
      <x:c r="I19" s="3" t="s">
        <x:v>147</x:v>
      </x:c>
      <x:c r="J19" s="3"/>
      <x:c r="K19" s="3"/>
      <x:c r="L19"/>
    </x:row>
    <x:row r="20">
      <x:c r="A20" s="8" t="s">
        <x:v>155</x:v>
      </x:c>
      <x:c r="B20" s="3" t="s">
        <x:v>119</x:v>
      </x:c>
      <x:c r="C20" s="3" t="s">
        <x:v>146</x:v>
      </x:c>
      <x:c r="D20" s="5">
        <x:v>2</x:v>
      </x:c>
      <x:c r="E20" s="13">
        <x:v>12</x:v>
      </x:c>
      <x:c r="F20" s="4">
        <x:v>0</x:v>
      </x:c>
      <x:c r="G20" s="4">
        <x:v>0</x:v>
      </x:c>
      <x:c r="H20" s="4">
        <x:v>0</x:v>
      </x:c>
      <x:c r="I20" s="3" t="s">
        <x:v>147</x:v>
      </x:c>
      <x:c r="J20" s="3"/>
      <x:c r="K20" s="3"/>
      <x:c r="L20"/>
    </x:row>
    <x:row r="21">
      <x:c r="A21" s="8" t="s">
        <x:v>155</x:v>
      </x:c>
      <x:c r="B21" s="3" t="s">
        <x:v>123</x:v>
      </x:c>
      <x:c r="C21" s="3" t="s">
        <x:v>146</x:v>
      </x:c>
      <x:c r="D21" s="5">
        <x:v>2</x:v>
      </x:c>
      <x:c r="E21" s="13">
        <x:v>12</x:v>
      </x:c>
      <x:c r="F21" s="4">
        <x:v>0</x:v>
      </x:c>
      <x:c r="G21" s="4">
        <x:v>0</x:v>
      </x:c>
      <x:c r="H21" s="4">
        <x:v>0</x:v>
      </x:c>
      <x:c r="I21" s="3" t="s">
        <x:v>147</x:v>
      </x:c>
      <x:c r="J21" s="3"/>
      <x:c r="K21" s="3"/>
      <x:c r="L21"/>
    </x:row>
    <x:row r="22">
      <x:c r="A22" s="8" t="s">
        <x:v>155</x:v>
      </x:c>
      <x:c r="B22" s="3" t="s">
        <x:v>117</x:v>
      </x:c>
      <x:c r="C22" s="3" t="s">
        <x:v>146</x:v>
      </x:c>
      <x:c r="D22" s="5">
        <x:v>2</x:v>
      </x:c>
      <x:c r="E22" s="13">
        <x:v>12</x:v>
      </x:c>
      <x:c r="F22" s="4">
        <x:v>0</x:v>
      </x:c>
      <x:c r="G22" s="4">
        <x:v>0</x:v>
      </x:c>
      <x:c r="H22" s="4">
        <x:v>0</x:v>
      </x:c>
      <x:c r="I22" s="3" t="s">
        <x:v>147</x:v>
      </x:c>
      <x:c r="J22" s="3"/>
      <x:c r="K22" s="3"/>
      <x:c r="L22"/>
    </x:row>
    <x:row r="23">
      <x:c r="A23" s="8" t="s">
        <x:v>111</x:v>
      </x:c>
      <x:c r="B23" s="3" t="s">
        <x:v>158</x:v>
      </x:c>
      <x:c r="C23" s="3" t="s">
        <x:v>146</x:v>
      </x:c>
      <x:c r="D23" s="5">
        <x:v>2</x:v>
      </x:c>
      <x:c r="E23" s="13">
        <x:v>12</x:v>
      </x:c>
      <x:c r="F23" s="4">
        <x:f t="shared" si="1"/>
        <x:v>24</x:v>
      </x:c>
      <x:c r="G23" s="4" t="n">
        <x:f>IF(D23="","",D23*Parametri!$B$6)</x:f>
        <x:v>5.4</x:v>
      </x:c>
      <x:c r="H23" s="4">
        <x:f t="shared" si="0"/>
        <x:v>18.600000000000001</x:v>
      </x:c>
      <x:c r="I23" s="3" t="s">
        <x:v>147</x:v>
      </x:c>
      <x:c r="J23" s="3" t="s">
        <x:v>105</x:v>
      </x:c>
      <x:c r="K23" s="3" t="s">
        <x:v>151</x:v>
      </x:c>
      <x:c r="L23"/>
    </x:row>
    <x:row r="24">
      <x:c r="A24" s="8" t="s">
        <x:v>111</x:v>
      </x:c>
      <x:c r="B24" s="3" t="s">
        <x:v>159</x:v>
      </x:c>
      <x:c r="C24" s="3" t="s">
        <x:v>146</x:v>
      </x:c>
      <x:c r="D24" s="5">
        <x:v>3</x:v>
      </x:c>
      <x:c r="E24" s="13">
        <x:v>15</x:v>
      </x:c>
      <x:c r="F24" s="4">
        <x:f t="shared" si="1"/>
        <x:v>45</x:v>
      </x:c>
      <x:c r="G24" s="4" t="n">
        <x:f>IF(D24="","",D24*Parametri!$B$6)</x:f>
        <x:v>8.100000000000001</x:v>
      </x:c>
      <x:c r="H24" s="4">
        <x:f t="shared" si="0"/>
        <x:v>36.9</x:v>
      </x:c>
      <x:c r="I24" s="3" t="s">
        <x:v>147</x:v>
      </x:c>
      <x:c r="J24" s="3" t="s">
        <x:v>102</x:v>
      </x:c>
      <x:c r="K24" s="3" t="s">
        <x:v>151</x:v>
      </x:c>
      <x:c r="L24"/>
    </x:row>
    <x:row r="25">
      <x:c r="A25" s="8" t="s">
        <x:v>111</x:v>
      </x:c>
      <x:c r="B25" s="3" t="s">
        <x:v>160</x:v>
      </x:c>
      <x:c r="C25" s="3" t="s">
        <x:v>146</x:v>
      </x:c>
      <x:c r="D25" s="5">
        <x:v>1</x:v>
      </x:c>
      <x:c r="E25" s="13">
        <x:v>15</x:v>
      </x:c>
      <x:c r="F25" s="4">
        <x:f t="shared" si="1"/>
        <x:v>15</x:v>
      </x:c>
      <x:c r="G25" s="4" t="n">
        <x:f>IF(D25="","",D25*Parametri!$B$6)</x:f>
        <x:v>2.7</x:v>
      </x:c>
      <x:c r="H25" s="4">
        <x:f t="shared" si="0"/>
        <x:v>12.3</x:v>
      </x:c>
      <x:c r="I25" s="3" t="s">
        <x:v>147</x:v>
      </x:c>
      <x:c r="J25" s="3" t="s">
        <x:v>102</x:v>
      </x:c>
      <x:c r="K25" s="3" t="s">
        <x:v>151</x:v>
      </x:c>
      <x:c r="L25"/>
    </x:row>
    <x:row r="26">
      <x:c r="A26" s="8" t="s">
        <x:v>111</x:v>
      </x:c>
      <x:c r="B26" s="3" t="s">
        <x:v>110</x:v>
      </x:c>
      <x:c r="C26" s="3" t="s">
        <x:v>146</x:v>
      </x:c>
      <x:c r="D26" s="5">
        <x:v>2</x:v>
      </x:c>
      <x:c r="E26" s="13">
        <x:v>12</x:v>
      </x:c>
      <x:c r="F26" s="4">
        <x:v>0</x:v>
      </x:c>
      <x:c r="G26" s="4">
        <x:v>0</x:v>
      </x:c>
      <x:c r="H26" s="4">
        <x:f t="shared" si="0"/>
        <x:v>0</x:v>
      </x:c>
      <x:c r="I26" s="3" t="s">
        <x:v>147</x:v>
      </x:c>
      <x:c r="J26" s="3"/>
      <x:c r="K26" s="3"/>
      <x:c r="L26"/>
    </x:row>
    <x:row r="27">
      <x:c r="A27" s="22" t="s">
        <x:v>161</x:v>
      </x:c>
      <x:c r="B27" s="3" t="s">
        <x:v>162</x:v>
      </x:c>
      <x:c r="C27" s="3" t="s">
        <x:v>146</x:v>
      </x:c>
      <x:c r="D27" s="5">
        <x:v>1</x:v>
      </x:c>
      <x:c r="E27" s="13">
        <x:v>15</x:v>
      </x:c>
      <x:c r="F27" s="4">
        <x:f t="shared" si="1"/>
        <x:v>15</x:v>
      </x:c>
      <x:c r="G27" s="4" t="n">
        <x:f>IF(D27="","",D27*Parametri!$B$6)</x:f>
        <x:v>2.7</x:v>
      </x:c>
      <x:c r="H27" s="4">
        <x:f t="shared" si="0"/>
        <x:v>12.3</x:v>
      </x:c>
      <x:c r="I27" s="3" t="s">
        <x:v>147</x:v>
      </x:c>
      <x:c r="J27" s="3" t="s">
        <x:v>102</x:v>
      </x:c>
      <x:c r="K27" s="3" t="s">
        <x:v>151</x:v>
      </x:c>
      <x:c r="L27"/>
    </x:row>
    <x:row r="28">
      <x:c r="A28" s="22" t="s">
        <x:v>163</x:v>
      </x:c>
      <x:c r="B28" s="3" t="s">
        <x:v>133</x:v>
      </x:c>
      <x:c r="C28" s="3" t="s">
        <x:v>146</x:v>
      </x:c>
      <x:c r="D28" s="5">
        <x:v>1</x:v>
      </x:c>
      <x:c r="E28" s="13">
        <x:v>15</x:v>
      </x:c>
      <x:c r="F28" s="4">
        <x:v>20</x:v>
      </x:c>
      <x:c r="G28" s="4" t="n">
        <x:f>IF(D28="","",D28*Parametri!$B$6)</x:f>
        <x:v>2.7</x:v>
      </x:c>
      <x:c r="H28" s="4">
        <x:f t="shared" si="0"/>
        <x:v>17.3</x:v>
      </x:c>
      <x:c r="I28" s="3" t="s">
        <x:v>147</x:v>
      </x:c>
      <x:c r="J28" s="3" t="s">
        <x:v>102</x:v>
      </x:c>
      <x:c r="K28" s="3" t="s">
        <x:v>151</x:v>
      </x:c>
      <x:c r="L28"/>
    </x:row>
    <x:row r="29">
      <x:c r="A29" s="22" t="s">
        <x:v>163</x:v>
      </x:c>
      <x:c r="B29" s="3" t="s">
        <x:v>133</x:v>
      </x:c>
      <x:c r="C29" s="3" t="s">
        <x:v>146</x:v>
      </x:c>
      <x:c r="D29" s="5">
        <x:v>5</x:v>
      </x:c>
      <x:c r="E29" s="13">
        <x:v>15</x:v>
      </x:c>
      <x:c r="F29" s="4">
        <x:f t="shared" si="1"/>
        <x:v>75</x:v>
      </x:c>
      <x:c r="G29" s="4" t="n">
        <x:f>IF(D29="","",D29*Parametri!$B$6)</x:f>
        <x:v>13.5</x:v>
      </x:c>
      <x:c r="H29" s="4">
        <x:f t="shared" si="0"/>
        <x:v>61.5</x:v>
      </x:c>
      <x:c r="I29" s="3" t="s">
        <x:v>147</x:v>
      </x:c>
      <x:c r="J29" s="3" t="s">
        <x:v>102</x:v>
      </x:c>
      <x:c r="K29" s="3" t="s">
        <x:v>151</x:v>
      </x:c>
      <x:c r="L29"/>
    </x:row>
    <x:row r="30">
      <x:c r="A30" s="22"/>
      <x:c r="B30" s="3"/>
      <x:c r="C30" s="3" t="s">
        <x:v>146</x:v>
      </x:c>
      <x:c r="D30" s="5"/>
      <x:c r="E30" s="13"/>
      <x:c r="F30" s="4" t="str">
        <x:f t="shared" si="1"/>
      </x:c>
      <x:c r="G30" s="4" t="str">
        <x:f>IF(D30="","",D30*Parametri!$B$6)</x:f>
      </x:c>
      <x:c r="H30" s="4" t="str">
        <x:f t="shared" si="0"/>
      </x:c>
      <x:c r="I30" s="3" t="s">
        <x:v>147</x:v>
      </x:c>
      <x:c r="J30" s="3"/>
      <x:c r="K30" s="3"/>
      <x:c r="L30"/>
    </x:row>
    <x:row r="31">
      <x:c r="A31" s="22"/>
      <x:c r="B31" s="3"/>
      <x:c r="C31" s="3" t="s">
        <x:v>146</x:v>
      </x:c>
      <x:c r="D31" s="5"/>
      <x:c r="E31" s="13"/>
      <x:c r="F31" s="4" t="str">
        <x:f t="shared" si="1"/>
      </x:c>
      <x:c r="G31" s="4" t="str">
        <x:f>IF(D31="","",D31*Parametri!$B$6)</x:f>
      </x:c>
      <x:c r="H31" s="4" t="str">
        <x:f t="shared" si="0"/>
      </x:c>
      <x:c r="I31" s="3" t="s">
        <x:v>147</x:v>
      </x:c>
      <x:c r="J31" s="3"/>
      <x:c r="K31" s="3"/>
      <x:c r="L31"/>
    </x:row>
    <x:row r="32">
      <x:c r="A32" s="22"/>
      <x:c r="B32" s="3"/>
      <x:c r="C32" s="3" t="s">
        <x:v>146</x:v>
      </x:c>
      <x:c r="D32" s="5"/>
      <x:c r="E32" s="13"/>
      <x:c r="F32" s="4" t="str">
        <x:f t="shared" si="1"/>
      </x:c>
      <x:c r="G32" s="4" t="str">
        <x:f>IF(D32="","",D32*Parametri!$B$6)</x:f>
      </x:c>
      <x:c r="H32" s="4" t="str">
        <x:f t="shared" si="0"/>
      </x:c>
      <x:c r="I32" s="3" t="s">
        <x:v>147</x:v>
      </x:c>
      <x:c r="J32" s="3"/>
      <x:c r="K32" s="3"/>
      <x:c r="L32"/>
    </x:row>
    <x:row r="33">
      <x:c r="A33" s="22"/>
      <x:c r="B33" s="3"/>
      <x:c r="C33" s="3" t="s">
        <x:v>146</x:v>
      </x:c>
      <x:c r="D33" s="5"/>
      <x:c r="E33" s="13"/>
      <x:c r="F33" s="4" t="str">
        <x:f t="shared" si="1"/>
      </x:c>
      <x:c r="G33" s="4" t="str">
        <x:f>IF(D33="","",D33*Parametri!$B$6)</x:f>
      </x:c>
      <x:c r="H33" s="4" t="str">
        <x:f t="shared" si="0"/>
      </x:c>
      <x:c r="I33" s="3" t="s">
        <x:v>147</x:v>
      </x:c>
      <x:c r="J33" s="3"/>
      <x:c r="K33" s="3"/>
      <x:c r="L33"/>
    </x:row>
    <x:row r="34">
      <x:c r="A34" s="22"/>
      <x:c r="B34" s="3"/>
      <x:c r="C34" s="3" t="s">
        <x:v>146</x:v>
      </x:c>
      <x:c r="D34" s="5"/>
      <x:c r="E34" s="13"/>
      <x:c r="F34" s="4" t="str">
        <x:f t="shared" si="1"/>
      </x:c>
      <x:c r="G34" s="4" t="str">
        <x:f>IF(D34="","",D34*Parametri!$B$6)</x:f>
      </x:c>
      <x:c r="H34" s="4" t="str">
        <x:f t="shared" si="0"/>
      </x:c>
      <x:c r="I34" s="3" t="s">
        <x:v>147</x:v>
      </x:c>
      <x:c r="J34" s="3"/>
      <x:c r="K34" s="3"/>
      <x:c r="L34"/>
    </x:row>
    <x:row r="35">
      <x:c r="A35" s="22"/>
      <x:c r="B35" s="3"/>
      <x:c r="C35" s="3" t="s">
        <x:v>146</x:v>
      </x:c>
      <x:c r="D35" s="5"/>
      <x:c r="E35" s="13"/>
      <x:c r="F35" s="4" t="str">
        <x:f t="shared" si="1"/>
      </x:c>
      <x:c r="G35" s="4" t="str">
        <x:f>IF(D35="","",D35*Parametri!$B$6)</x:f>
      </x:c>
      <x:c r="H35" s="4" t="str">
        <x:f t="shared" si="0"/>
      </x:c>
      <x:c r="I35" s="3" t="s">
        <x:v>147</x:v>
      </x:c>
      <x:c r="J35" s="3"/>
      <x:c r="K35" s="3"/>
      <x:c r="L35"/>
    </x:row>
    <x:row r="36">
      <x:c r="A36" s="22"/>
      <x:c r="B36" s="3"/>
      <x:c r="C36" s="3" t="s">
        <x:v>146</x:v>
      </x:c>
      <x:c r="D36" s="5"/>
      <x:c r="E36" s="13"/>
      <x:c r="F36" s="4" t="str">
        <x:f t="shared" si="1"/>
      </x:c>
      <x:c r="G36" s="4" t="str">
        <x:f>IF(D36="","",D36*Parametri!$B$6)</x:f>
      </x:c>
      <x:c r="H36" s="4" t="str">
        <x:f t="shared" si="0"/>
      </x:c>
      <x:c r="I36" s="3" t="s">
        <x:v>147</x:v>
      </x:c>
      <x:c r="J36" s="3"/>
      <x:c r="K36" s="3"/>
      <x:c r="L36"/>
    </x:row>
    <x:row r="37">
      <x:c r="A37" s="22"/>
      <x:c r="B37" s="3"/>
      <x:c r="C37" s="3" t="s">
        <x:v>146</x:v>
      </x:c>
      <x:c r="D37" s="5"/>
      <x:c r="E37" s="13"/>
      <x:c r="F37" s="4" t="str">
        <x:f t="shared" si="1"/>
      </x:c>
      <x:c r="G37" s="4" t="str">
        <x:f>IF(D37="","",D37*Parametri!$B$6)</x:f>
      </x:c>
      <x:c r="H37" s="4" t="str">
        <x:f t="shared" si="0"/>
      </x:c>
      <x:c r="I37" s="3" t="s">
        <x:v>147</x:v>
      </x:c>
      <x:c r="J37" s="3"/>
      <x:c r="K37" s="3"/>
      <x:c r="L37"/>
    </x:row>
    <x:row r="38">
      <x:c r="A38" s="22"/>
      <x:c r="B38" s="3"/>
      <x:c r="C38" s="3" t="s">
        <x:v>146</x:v>
      </x:c>
      <x:c r="D38" s="5"/>
      <x:c r="E38" s="13"/>
      <x:c r="F38" s="4" t="str">
        <x:f t="shared" si="1"/>
      </x:c>
      <x:c r="G38" s="4" t="str">
        <x:f>IF(D38="","",D38*Parametri!$B$6)</x:f>
      </x:c>
      <x:c r="H38" s="4" t="str">
        <x:f t="shared" si="0"/>
      </x:c>
      <x:c r="I38" s="3" t="s">
        <x:v>147</x:v>
      </x:c>
      <x:c r="J38" s="3"/>
      <x:c r="K38" s="3"/>
      <x:c r="L38"/>
    </x:row>
    <x:row r="39">
      <x:c r="A39" s="22"/>
      <x:c r="B39" s="3"/>
      <x:c r="C39" s="3" t="s">
        <x:v>146</x:v>
      </x:c>
      <x:c r="D39" s="5"/>
      <x:c r="E39" s="13"/>
      <x:c r="F39" s="4" t="str">
        <x:f t="shared" si="1"/>
      </x:c>
      <x:c r="G39" s="4" t="str">
        <x:f>IF(D39="","",D39*Parametri!$B$6)</x:f>
      </x:c>
      <x:c r="H39" s="4" t="str">
        <x:f t="shared" si="0"/>
      </x:c>
      <x:c r="I39" s="3" t="s">
        <x:v>147</x:v>
      </x:c>
      <x:c r="J39" s="3"/>
      <x:c r="K39" s="3"/>
      <x:c r="L39"/>
    </x:row>
    <x:row r="40">
      <x:c r="A40" s="22"/>
      <x:c r="B40" s="3"/>
      <x:c r="C40" s="3" t="s">
        <x:v>146</x:v>
      </x:c>
      <x:c r="D40" s="5"/>
      <x:c r="E40" s="13"/>
      <x:c r="F40" s="4" t="str">
        <x:f t="shared" si="1"/>
      </x:c>
      <x:c r="G40" s="4" t="str">
        <x:f>IF(D40="","",D40*Parametri!$B$6)</x:f>
      </x:c>
      <x:c r="H40" s="4" t="str">
        <x:f t="shared" si="0"/>
      </x:c>
      <x:c r="I40" s="3" t="s">
        <x:v>147</x:v>
      </x:c>
      <x:c r="J40" s="3"/>
      <x:c r="K40" s="3"/>
      <x:c r="L40"/>
    </x:row>
    <x:row r="41">
      <x:c r="A41" s="22"/>
      <x:c r="B41" s="3"/>
      <x:c r="C41" s="3" t="s">
        <x:v>146</x:v>
      </x:c>
      <x:c r="D41" s="5"/>
      <x:c r="E41" s="13"/>
      <x:c r="F41" s="4" t="str">
        <x:f t="shared" si="1"/>
      </x:c>
      <x:c r="G41" s="4" t="str">
        <x:f>IF(D41="","",D41*Parametri!$B$6)</x:f>
      </x:c>
      <x:c r="H41" s="4" t="str">
        <x:f t="shared" si="0"/>
      </x:c>
      <x:c r="I41" s="3" t="s">
        <x:v>147</x:v>
      </x:c>
      <x:c r="J41" s="3"/>
      <x:c r="K41" s="3"/>
      <x:c r="L41"/>
    </x:row>
    <x:row r="42">
      <x:c r="A42" s="22"/>
      <x:c r="B42" s="3"/>
      <x:c r="C42" s="3" t="s">
        <x:v>146</x:v>
      </x:c>
      <x:c r="D42" s="5"/>
      <x:c r="E42" s="13"/>
      <x:c r="F42" s="4" t="str">
        <x:f t="shared" si="1"/>
      </x:c>
      <x:c r="G42" s="4" t="str">
        <x:f>IF(D42="","",D42*Parametri!$B$6)</x:f>
      </x:c>
      <x:c r="H42" s="4" t="str">
        <x:f t="shared" si="0"/>
      </x:c>
      <x:c r="I42" s="3" t="s">
        <x:v>147</x:v>
      </x:c>
      <x:c r="J42" s="3"/>
      <x:c r="K42" s="3"/>
      <x:c r="L42"/>
    </x:row>
    <x:row r="43">
      <x:c r="A43" s="22"/>
      <x:c r="B43" s="3"/>
      <x:c r="C43" s="3" t="s">
        <x:v>146</x:v>
      </x:c>
      <x:c r="D43" s="5"/>
      <x:c r="E43" s="13"/>
      <x:c r="F43" s="4" t="str">
        <x:f t="shared" si="1"/>
      </x:c>
      <x:c r="G43" s="4" t="str">
        <x:f>IF(D43="","",D43*Parametri!$B$6)</x:f>
      </x:c>
      <x:c r="H43" s="4" t="str">
        <x:f t="shared" si="0"/>
      </x:c>
      <x:c r="I43" s="3" t="s">
        <x:v>147</x:v>
      </x:c>
      <x:c r="J43" s="3"/>
      <x:c r="K43" s="3"/>
      <x:c r="L43"/>
    </x:row>
    <x:row r="44">
      <x:c r="A44" s="22"/>
      <x:c r="B44" s="3"/>
      <x:c r="C44" s="3" t="s">
        <x:v>146</x:v>
      </x:c>
      <x:c r="D44" s="5"/>
      <x:c r="E44" s="13"/>
      <x:c r="F44" s="4" t="str">
        <x:f t="shared" si="1"/>
      </x:c>
      <x:c r="G44" s="4" t="str">
        <x:f>IF(D44="","",D44*Parametri!$B$6)</x:f>
      </x:c>
      <x:c r="H44" s="4" t="str">
        <x:f t="shared" si="0"/>
      </x:c>
      <x:c r="I44" s="3" t="s">
        <x:v>147</x:v>
      </x:c>
      <x:c r="J44" s="3"/>
      <x:c r="K44" s="3"/>
      <x:c r="L44"/>
    </x:row>
    <x:row r="45">
      <x:c r="A45" s="22"/>
      <x:c r="B45" s="3"/>
      <x:c r="C45" s="3" t="s">
        <x:v>146</x:v>
      </x:c>
      <x:c r="D45" s="5"/>
      <x:c r="E45" s="13"/>
      <x:c r="F45" s="4" t="str">
        <x:f t="shared" si="1"/>
      </x:c>
      <x:c r="G45" s="4" t="str">
        <x:f>IF(D45="","",D45*Parametri!$B$6)</x:f>
      </x:c>
      <x:c r="H45" s="4" t="str">
        <x:f t="shared" si="0"/>
      </x:c>
      <x:c r="I45" s="3" t="s">
        <x:v>147</x:v>
      </x:c>
      <x:c r="J45" s="3"/>
      <x:c r="K45" s="3"/>
      <x:c r="L45"/>
    </x:row>
    <x:row r="46">
      <x:c r="A46" s="22"/>
      <x:c r="B46" s="3"/>
      <x:c r="C46" s="3" t="s">
        <x:v>146</x:v>
      </x:c>
      <x:c r="D46" s="5"/>
      <x:c r="E46" s="13"/>
      <x:c r="F46" s="4" t="str">
        <x:f t="shared" si="1"/>
      </x:c>
      <x:c r="G46" s="4" t="str">
        <x:f>IF(D46="","",D46*Parametri!$B$6)</x:f>
      </x:c>
      <x:c r="H46" s="4" t="str">
        <x:f t="shared" si="0"/>
      </x:c>
      <x:c r="I46" s="3" t="s">
        <x:v>147</x:v>
      </x:c>
      <x:c r="J46" s="3"/>
      <x:c r="K46" s="3"/>
      <x:c r="L46"/>
    </x:row>
    <x:row r="47">
      <x:c r="A47" s="22"/>
      <x:c r="B47" s="3"/>
      <x:c r="C47" s="3" t="s">
        <x:v>146</x:v>
      </x:c>
      <x:c r="D47" s="5"/>
      <x:c r="E47" s="13"/>
      <x:c r="F47" s="4" t="str">
        <x:f t="shared" si="1"/>
      </x:c>
      <x:c r="G47" s="4" t="str">
        <x:f>IF(D47="","",D47*Parametri!$B$6)</x:f>
      </x:c>
      <x:c r="H47" s="4" t="str">
        <x:f t="shared" si="0"/>
      </x:c>
      <x:c r="I47" s="3" t="s">
        <x:v>147</x:v>
      </x:c>
      <x:c r="J47" s="3"/>
      <x:c r="K47" s="3"/>
      <x:c r="L47"/>
    </x:row>
    <x:row r="48">
      <x:c r="A48" s="22"/>
      <x:c r="B48" s="3"/>
      <x:c r="C48" s="3" t="s">
        <x:v>146</x:v>
      </x:c>
      <x:c r="D48" s="5"/>
      <x:c r="E48" s="13"/>
      <x:c r="F48" s="4" t="str">
        <x:f t="shared" si="1"/>
      </x:c>
      <x:c r="G48" s="4" t="str">
        <x:f>IF(D48="","",D48*Parametri!$B$6)</x:f>
      </x:c>
      <x:c r="H48" s="4" t="str">
        <x:f t="shared" si="0"/>
      </x:c>
      <x:c r="I48" s="3" t="s">
        <x:v>147</x:v>
      </x:c>
      <x:c r="J48" s="3"/>
      <x:c r="K48" s="3"/>
      <x:c r="L48"/>
    </x:row>
    <x:row r="49">
      <x:c r="A49" s="22"/>
      <x:c r="B49" s="3"/>
      <x:c r="C49" s="3" t="s">
        <x:v>146</x:v>
      </x:c>
      <x:c r="D49" s="5"/>
      <x:c r="E49" s="13"/>
      <x:c r="F49" s="4" t="str">
        <x:f t="shared" si="1"/>
      </x:c>
      <x:c r="G49" s="4" t="str">
        <x:f>IF(D49="","",D49*Parametri!$B$6)</x:f>
      </x:c>
      <x:c r="H49" s="4" t="str">
        <x:f t="shared" si="0"/>
      </x:c>
      <x:c r="I49" s="3" t="s">
        <x:v>147</x:v>
      </x:c>
      <x:c r="J49" s="3"/>
      <x:c r="K49" s="3"/>
      <x:c r="L49"/>
    </x:row>
    <x:row r="50">
      <x:c r="A50" s="22"/>
      <x:c r="B50" s="3"/>
      <x:c r="C50" s="3" t="s">
        <x:v>146</x:v>
      </x:c>
      <x:c r="D50" s="5"/>
      <x:c r="E50" s="13"/>
      <x:c r="F50" s="4" t="str">
        <x:f t="shared" si="1"/>
      </x:c>
      <x:c r="G50" s="4" t="str">
        <x:f>IF(D50="","",D50*Parametri!$B$6)</x:f>
      </x:c>
      <x:c r="H50" s="4" t="str">
        <x:f t="shared" si="0"/>
      </x:c>
      <x:c r="I50" s="3" t="s">
        <x:v>147</x:v>
      </x:c>
      <x:c r="J50" s="3"/>
      <x:c r="K50" s="3"/>
      <x:c r="L50"/>
    </x:row>
    <x:row r="51">
      <x:c r="A51" s="22"/>
      <x:c r="B51" s="3"/>
      <x:c r="C51" s="3" t="s">
        <x:v>146</x:v>
      </x:c>
      <x:c r="D51" s="5"/>
      <x:c r="E51" s="13"/>
      <x:c r="F51" s="4" t="str">
        <x:f t="shared" si="1"/>
      </x:c>
      <x:c r="G51" s="4" t="str">
        <x:f>IF(D51="","",D51*Parametri!$B$6)</x:f>
      </x:c>
      <x:c r="H51" s="4" t="str">
        <x:f t="shared" si="0"/>
      </x:c>
      <x:c r="I51" s="3" t="s">
        <x:v>147</x:v>
      </x:c>
      <x:c r="J51" s="3"/>
      <x:c r="K51" s="3"/>
      <x:c r="L51"/>
    </x:row>
    <x:row r="52">
      <x:c r="A52" s="22"/>
      <x:c r="B52" s="3"/>
      <x:c r="C52" s="3" t="s">
        <x:v>146</x:v>
      </x:c>
      <x:c r="D52" s="5"/>
      <x:c r="E52" s="13"/>
      <x:c r="F52" s="4" t="str">
        <x:f t="shared" si="1"/>
      </x:c>
      <x:c r="G52" s="4" t="str">
        <x:f>IF(D52="","",D52*Parametri!$B$6)</x:f>
      </x:c>
      <x:c r="H52" s="4" t="str">
        <x:f t="shared" si="0"/>
      </x:c>
      <x:c r="I52" s="3" t="s">
        <x:v>147</x:v>
      </x:c>
      <x:c r="J52" s="3"/>
      <x:c r="K52" s="3"/>
      <x:c r="L52"/>
    </x:row>
    <x:row r="53">
      <x:c r="A53" s="22"/>
      <x:c r="B53" s="3"/>
      <x:c r="C53" s="3" t="s">
        <x:v>146</x:v>
      </x:c>
      <x:c r="D53" s="5"/>
      <x:c r="E53" s="13"/>
      <x:c r="F53" s="4" t="str">
        <x:f t="shared" si="1"/>
      </x:c>
      <x:c r="G53" s="4" t="str">
        <x:f>IF(D53="","",D53*Parametri!$B$6)</x:f>
      </x:c>
      <x:c r="H53" s="4" t="str">
        <x:f t="shared" si="0"/>
      </x:c>
      <x:c r="I53" s="3" t="s">
        <x:v>147</x:v>
      </x:c>
      <x:c r="J53" s="3"/>
      <x:c r="K53" s="3"/>
      <x:c r="L53"/>
    </x:row>
    <x:row r="54">
      <x:c r="A54" s="22"/>
      <x:c r="B54" s="3"/>
      <x:c r="C54" s="3" t="s">
        <x:v>146</x:v>
      </x:c>
      <x:c r="D54" s="5"/>
      <x:c r="E54" s="13"/>
      <x:c r="F54" s="4" t="str">
        <x:f t="shared" si="1"/>
      </x:c>
      <x:c r="G54" s="4" t="str">
        <x:f>IF(D54="","",D54*Parametri!$B$6)</x:f>
      </x:c>
      <x:c r="H54" s="4" t="str">
        <x:f t="shared" si="0"/>
      </x:c>
      <x:c r="I54" s="3" t="s">
        <x:v>147</x:v>
      </x:c>
      <x:c r="J54" s="3"/>
      <x:c r="K54" s="3"/>
      <x:c r="L54"/>
    </x:row>
    <x:row r="55">
      <x:c r="A55" s="22"/>
      <x:c r="B55" s="3"/>
      <x:c r="C55" s="3" t="s">
        <x:v>146</x:v>
      </x:c>
      <x:c r="D55" s="5"/>
      <x:c r="E55" s="13"/>
      <x:c r="F55" s="4" t="str">
        <x:f t="shared" si="1"/>
      </x:c>
      <x:c r="G55" s="4" t="str">
        <x:f>IF(D55="","",D55*Parametri!$B$6)</x:f>
      </x:c>
      <x:c r="H55" s="4" t="str">
        <x:f t="shared" si="0"/>
      </x:c>
      <x:c r="I55" s="3" t="s">
        <x:v>147</x:v>
      </x:c>
      <x:c r="J55" s="3"/>
      <x:c r="K55" s="3"/>
      <x:c r="L55"/>
    </x:row>
    <x:row r="56">
      <x:c r="A56" s="22"/>
      <x:c r="B56" s="3"/>
      <x:c r="C56" s="3" t="s">
        <x:v>146</x:v>
      </x:c>
      <x:c r="D56" s="5"/>
      <x:c r="E56" s="13"/>
      <x:c r="F56" s="4" t="str">
        <x:f t="shared" si="1"/>
      </x:c>
      <x:c r="G56" s="4" t="str">
        <x:f>IF(D56="","",D56*Parametri!$B$6)</x:f>
      </x:c>
      <x:c r="H56" s="4" t="str">
        <x:f t="shared" si="0"/>
      </x:c>
      <x:c r="I56" s="3" t="s">
        <x:v>147</x:v>
      </x:c>
      <x:c r="J56" s="3"/>
      <x:c r="K56" s="3"/>
      <x:c r="L56"/>
    </x:row>
    <x:row r="57">
      <x:c r="A57" s="22"/>
      <x:c r="B57" s="3"/>
      <x:c r="C57" s="3" t="s">
        <x:v>146</x:v>
      </x:c>
      <x:c r="D57" s="5"/>
      <x:c r="E57" s="13"/>
      <x:c r="F57" s="4" t="str">
        <x:f t="shared" si="1"/>
      </x:c>
      <x:c r="G57" s="4" t="str">
        <x:f>IF(D57="","",D57*Parametri!$B$6)</x:f>
      </x:c>
      <x:c r="H57" s="4" t="str">
        <x:f t="shared" si="0"/>
      </x:c>
      <x:c r="I57" s="3" t="s">
        <x:v>147</x:v>
      </x:c>
      <x:c r="J57" s="3"/>
      <x:c r="K57" s="3"/>
      <x:c r="L57"/>
    </x:row>
    <x:row r="58">
      <x:c r="A58" s="22"/>
      <x:c r="B58" s="3"/>
      <x:c r="C58" s="3" t="s">
        <x:v>146</x:v>
      </x:c>
      <x:c r="D58" s="5"/>
      <x:c r="E58" s="13"/>
      <x:c r="F58" s="4" t="str">
        <x:f t="shared" si="1"/>
      </x:c>
      <x:c r="G58" s="4" t="str">
        <x:f>IF(D58="","",D58*Parametri!$B$6)</x:f>
      </x:c>
      <x:c r="H58" s="4" t="str">
        <x:f t="shared" si="0"/>
      </x:c>
      <x:c r="I58" s="3" t="s">
        <x:v>147</x:v>
      </x:c>
      <x:c r="J58" s="3"/>
      <x:c r="K58" s="3"/>
      <x:c r="L58"/>
    </x:row>
    <x:row r="59">
      <x:c r="A59" s="22"/>
      <x:c r="B59" s="3"/>
      <x:c r="C59" s="3" t="s">
        <x:v>146</x:v>
      </x:c>
      <x:c r="D59" s="5"/>
      <x:c r="E59" s="13"/>
      <x:c r="F59" s="4" t="str">
        <x:f t="shared" si="1"/>
      </x:c>
      <x:c r="G59" s="4" t="str">
        <x:f>IF(D59="","",D59*Parametri!$B$6)</x:f>
      </x:c>
      <x:c r="H59" s="4" t="str">
        <x:f t="shared" si="0"/>
      </x:c>
      <x:c r="I59" s="3" t="s">
        <x:v>147</x:v>
      </x:c>
      <x:c r="J59" s="3"/>
      <x:c r="K59" s="3"/>
      <x:c r="L59"/>
    </x:row>
    <x:row r="60">
      <x:c r="A60" s="22"/>
      <x:c r="B60" s="3"/>
      <x:c r="C60" s="3" t="s">
        <x:v>146</x:v>
      </x:c>
      <x:c r="D60" s="5"/>
      <x:c r="E60" s="13"/>
      <x:c r="F60" s="4" t="str">
        <x:f t="shared" si="1"/>
      </x:c>
      <x:c r="G60" s="4" t="str">
        <x:f>IF(D60="","",D60*Parametri!$B$6)</x:f>
      </x:c>
      <x:c r="H60" s="4" t="str">
        <x:f t="shared" si="0"/>
      </x:c>
      <x:c r="I60" s="3" t="s">
        <x:v>147</x:v>
      </x:c>
      <x:c r="J60" s="3"/>
      <x:c r="K60" s="3"/>
      <x:c r="L60"/>
    </x:row>
    <x:row r="61">
      <x:c r="A61" s="22"/>
      <x:c r="B61" s="3"/>
      <x:c r="C61" s="3" t="s">
        <x:v>146</x:v>
      </x:c>
      <x:c r="D61" s="5"/>
      <x:c r="E61" s="13"/>
      <x:c r="F61" s="4" t="str">
        <x:f t="shared" si="1"/>
      </x:c>
      <x:c r="G61" s="4" t="str">
        <x:f>IF(D61="","",D61*Parametri!$B$6)</x:f>
      </x:c>
      <x:c r="H61" s="4" t="str">
        <x:f t="shared" si="0"/>
      </x:c>
      <x:c r="I61" s="3" t="s">
        <x:v>147</x:v>
      </x:c>
      <x:c r="J61" s="3"/>
      <x:c r="K61" s="3"/>
      <x:c r="L61"/>
    </x:row>
    <x:row r="62">
      <x:c r="A62" s="22"/>
      <x:c r="B62" s="3"/>
      <x:c r="C62" s="3" t="s">
        <x:v>146</x:v>
      </x:c>
      <x:c r="D62" s="5"/>
      <x:c r="E62" s="13"/>
      <x:c r="F62" s="4" t="str">
        <x:f t="shared" si="1"/>
      </x:c>
      <x:c r="G62" s="4" t="str">
        <x:f>IF(D62="","",D62*Parametri!$B$6)</x:f>
      </x:c>
      <x:c r="H62" s="4" t="str">
        <x:f t="shared" si="0"/>
      </x:c>
      <x:c r="I62" s="3" t="s">
        <x:v>147</x:v>
      </x:c>
      <x:c r="J62" s="3"/>
      <x:c r="K62" s="3"/>
      <x:c r="L62"/>
    </x:row>
    <x:row r="63">
      <x:c r="A63" s="22"/>
      <x:c r="B63" s="3"/>
      <x:c r="C63" s="3" t="s">
        <x:v>146</x:v>
      </x:c>
      <x:c r="D63" s="5"/>
      <x:c r="E63" s="13"/>
      <x:c r="F63" s="4" t="str">
        <x:f t="shared" si="1"/>
      </x:c>
      <x:c r="G63" s="4" t="str">
        <x:f>IF(D63="","",D63*Parametri!$B$6)</x:f>
      </x:c>
      <x:c r="H63" s="4" t="str">
        <x:f t="shared" si="0"/>
      </x:c>
      <x:c r="I63" s="3" t="s">
        <x:v>147</x:v>
      </x:c>
      <x:c r="J63" s="3"/>
      <x:c r="K63" s="3"/>
      <x:c r="L63"/>
    </x:row>
    <x:row r="64">
      <x:c r="A64" s="22"/>
      <x:c r="B64" s="3"/>
      <x:c r="C64" s="3" t="s">
        <x:v>146</x:v>
      </x:c>
      <x:c r="D64" s="5"/>
      <x:c r="E64" s="13"/>
      <x:c r="F64" s="4" t="str">
        <x:f t="shared" si="1"/>
      </x:c>
      <x:c r="G64" s="4" t="str">
        <x:f>IF(D64="","",D64*Parametri!$B$6)</x:f>
      </x:c>
      <x:c r="H64" s="4" t="str">
        <x:f t="shared" si="0"/>
      </x:c>
      <x:c r="I64" s="3" t="s">
        <x:v>147</x:v>
      </x:c>
      <x:c r="J64" s="3"/>
      <x:c r="K64" s="3"/>
      <x:c r="L64"/>
    </x:row>
    <x:row r="65">
      <x:c r="A65" s="22"/>
      <x:c r="B65" s="3"/>
      <x:c r="C65" s="3" t="s">
        <x:v>146</x:v>
      </x:c>
      <x:c r="D65" s="5"/>
      <x:c r="E65" s="13"/>
      <x:c r="F65" s="4" t="str">
        <x:f t="shared" si="1"/>
      </x:c>
      <x:c r="G65" s="4" t="str">
        <x:f>IF(D65="","",D65*Parametri!$B$6)</x:f>
      </x:c>
      <x:c r="H65" s="4" t="str">
        <x:f t="shared" si="0"/>
      </x:c>
      <x:c r="I65" s="3" t="s">
        <x:v>147</x:v>
      </x:c>
      <x:c r="J65" s="3"/>
      <x:c r="K65" s="3"/>
      <x:c r="L65"/>
    </x:row>
    <x:row r="66">
      <x:c r="A66" s="22"/>
      <x:c r="B66" s="3"/>
      <x:c r="C66" s="3" t="s">
        <x:v>146</x:v>
      </x:c>
      <x:c r="D66" s="5"/>
      <x:c r="E66" s="13"/>
      <x:c r="F66" s="4" t="str">
        <x:f t="shared" si="1"/>
      </x:c>
      <x:c r="G66" s="4" t="str">
        <x:f>IF(D66="","",D66*Parametri!$B$6)</x:f>
      </x:c>
      <x:c r="H66" s="4" t="str">
        <x:f t="shared" si="0"/>
      </x:c>
      <x:c r="I66" s="3" t="s">
        <x:v>147</x:v>
      </x:c>
      <x:c r="J66" s="3"/>
      <x:c r="K66" s="3"/>
      <x:c r="L66"/>
    </x:row>
    <x:row r="67">
      <x:c r="A67" s="22"/>
      <x:c r="B67" s="3"/>
      <x:c r="C67" s="3" t="s">
        <x:v>146</x:v>
      </x:c>
      <x:c r="D67" s="5"/>
      <x:c r="E67" s="13"/>
      <x:c r="F67" s="4" t="str">
        <x:f t="shared" si="1"/>
      </x:c>
      <x:c r="G67" s="4" t="str">
        <x:f>IF(D67="","",D67*Parametri!$B$6)</x:f>
      </x:c>
      <x:c r="H67" s="4" t="str">
        <x:f t="shared" si="0"/>
      </x:c>
      <x:c r="I67" s="3" t="s">
        <x:v>147</x:v>
      </x:c>
      <x:c r="J67" s="3"/>
      <x:c r="K67" s="3"/>
      <x:c r="L67"/>
    </x:row>
    <x:row r="68">
      <x:c r="A68" s="22"/>
      <x:c r="B68" s="3"/>
      <x:c r="C68" s="3" t="s">
        <x:v>146</x:v>
      </x:c>
      <x:c r="D68" s="5"/>
      <x:c r="E68" s="13"/>
      <x:c r="F68" s="4" t="str">
        <x:f t="shared" si="1"/>
      </x:c>
      <x:c r="G68" s="4" t="str">
        <x:f>IF(D68="","",D68*Parametri!$B$6)</x:f>
      </x:c>
      <x:c r="H68" s="4" t="str">
        <x:f t="shared" ref="H68:H131" si="2">IF(F68="","",F68-G68)</x:f>
      </x:c>
      <x:c r="I68" s="3" t="s">
        <x:v>147</x:v>
      </x:c>
      <x:c r="J68" s="3"/>
      <x:c r="K68" s="3"/>
      <x:c r="L68"/>
    </x:row>
    <x:row r="69">
      <x:c r="A69" s="22"/>
      <x:c r="B69" s="3"/>
      <x:c r="C69" s="3" t="s">
        <x:v>146</x:v>
      </x:c>
      <x:c r="D69" s="5"/>
      <x:c r="E69" s="13"/>
      <x:c r="F69" s="4" t="str">
        <x:f t="shared" si="1"/>
      </x:c>
      <x:c r="G69" s="4" t="str">
        <x:f>IF(D69="","",D69*Parametri!$B$6)</x:f>
      </x:c>
      <x:c r="H69" s="4" t="str">
        <x:f t="shared" si="2"/>
      </x:c>
      <x:c r="I69" s="3" t="s">
        <x:v>147</x:v>
      </x:c>
      <x:c r="J69" s="3"/>
      <x:c r="K69" s="3"/>
      <x:c r="L69"/>
    </x:row>
    <x:row r="70">
      <x:c r="A70" s="22"/>
      <x:c r="B70" s="3"/>
      <x:c r="C70" s="3" t="s">
        <x:v>146</x:v>
      </x:c>
      <x:c r="D70" s="5"/>
      <x:c r="E70" s="13"/>
      <x:c r="F70" s="4" t="str">
        <x:f t="shared" si="1"/>
      </x:c>
      <x:c r="G70" s="4" t="str">
        <x:f>IF(D70="","",D70*Parametri!$B$6)</x:f>
      </x:c>
      <x:c r="H70" s="4" t="str">
        <x:f t="shared" si="2"/>
      </x:c>
      <x:c r="I70" s="3" t="s">
        <x:v>147</x:v>
      </x:c>
      <x:c r="J70" s="3"/>
      <x:c r="K70" s="3"/>
      <x:c r="L70"/>
    </x:row>
    <x:row r="71">
      <x:c r="A71" s="22"/>
      <x:c r="B71" s="3"/>
      <x:c r="C71" s="3" t="s">
        <x:v>146</x:v>
      </x:c>
      <x:c r="D71" s="5"/>
      <x:c r="E71" s="13"/>
      <x:c r="F71" s="4" t="str">
        <x:f t="shared" si="1"/>
      </x:c>
      <x:c r="G71" s="4" t="str">
        <x:f>IF(D71="","",D71*Parametri!$B$6)</x:f>
      </x:c>
      <x:c r="H71" s="4" t="str">
        <x:f t="shared" si="2"/>
      </x:c>
      <x:c r="I71" s="3" t="s">
        <x:v>147</x:v>
      </x:c>
      <x:c r="J71" s="3"/>
      <x:c r="K71" s="3"/>
      <x:c r="L71"/>
    </x:row>
    <x:row r="72">
      <x:c r="A72" s="22"/>
      <x:c r="B72" s="3"/>
      <x:c r="C72" s="3" t="s">
        <x:v>146</x:v>
      </x:c>
      <x:c r="D72" s="5"/>
      <x:c r="E72" s="13"/>
      <x:c r="F72" s="4" t="str">
        <x:f t="shared" si="1"/>
      </x:c>
      <x:c r="G72" s="4" t="str">
        <x:f>IF(D72="","",D72*Parametri!$B$6)</x:f>
      </x:c>
      <x:c r="H72" s="4" t="str">
        <x:f t="shared" si="2"/>
      </x:c>
      <x:c r="I72" s="3" t="s">
        <x:v>147</x:v>
      </x:c>
      <x:c r="J72" s="3"/>
      <x:c r="K72" s="3"/>
      <x:c r="L72"/>
    </x:row>
    <x:row r="73">
      <x:c r="A73" s="22"/>
      <x:c r="B73" s="3"/>
      <x:c r="C73" s="3" t="s">
        <x:v>146</x:v>
      </x:c>
      <x:c r="D73" s="5"/>
      <x:c r="E73" s="13"/>
      <x:c r="F73" s="4" t="str">
        <x:f t="shared" si="1"/>
      </x:c>
      <x:c r="G73" s="4" t="str">
        <x:f>IF(D73="","",D73*Parametri!$B$6)</x:f>
      </x:c>
      <x:c r="H73" s="4" t="str">
        <x:f t="shared" si="2"/>
      </x:c>
      <x:c r="I73" s="3" t="s">
        <x:v>147</x:v>
      </x:c>
      <x:c r="J73" s="3"/>
      <x:c r="K73" s="3"/>
      <x:c r="L73"/>
    </x:row>
    <x:row r="74">
      <x:c r="A74" s="22"/>
      <x:c r="B74" s="3"/>
      <x:c r="C74" s="3" t="s">
        <x:v>146</x:v>
      </x:c>
      <x:c r="D74" s="5"/>
      <x:c r="E74" s="13"/>
      <x:c r="F74" s="4" t="str">
        <x:f t="shared" si="1"/>
      </x:c>
      <x:c r="G74" s="4" t="str">
        <x:f>IF(D74="","",D74*Parametri!$B$6)</x:f>
      </x:c>
      <x:c r="H74" s="4" t="str">
        <x:f t="shared" si="2"/>
      </x:c>
      <x:c r="I74" s="3" t="s">
        <x:v>147</x:v>
      </x:c>
      <x:c r="J74" s="3"/>
      <x:c r="K74" s="3"/>
      <x:c r="L74"/>
    </x:row>
    <x:row r="75">
      <x:c r="A75" s="22"/>
      <x:c r="B75" s="3"/>
      <x:c r="C75" s="3" t="s">
        <x:v>146</x:v>
      </x:c>
      <x:c r="D75" s="5"/>
      <x:c r="E75" s="13"/>
      <x:c r="F75" s="4" t="str">
        <x:f t="shared" ref="F75:F138" si="3">IF(OR(D75="",E75=""),"",D75*E75)</x:f>
      </x:c>
      <x:c r="G75" s="4" t="str">
        <x:f>IF(D75="","",D75*Parametri!$B$6)</x:f>
      </x:c>
      <x:c r="H75" s="4" t="str">
        <x:f t="shared" si="2"/>
      </x:c>
      <x:c r="I75" s="3" t="s">
        <x:v>147</x:v>
      </x:c>
      <x:c r="J75" s="3"/>
      <x:c r="K75" s="3"/>
      <x:c r="L75"/>
    </x:row>
    <x:row r="76">
      <x:c r="A76" s="22"/>
      <x:c r="B76" s="3"/>
      <x:c r="C76" s="3" t="s">
        <x:v>146</x:v>
      </x:c>
      <x:c r="D76" s="5"/>
      <x:c r="E76" s="13"/>
      <x:c r="F76" s="4" t="str">
        <x:f t="shared" si="3"/>
      </x:c>
      <x:c r="G76" s="4" t="str">
        <x:f>IF(D76="","",D76*Parametri!$B$6)</x:f>
      </x:c>
      <x:c r="H76" s="4" t="str">
        <x:f t="shared" si="2"/>
      </x:c>
      <x:c r="I76" s="3" t="s">
        <x:v>147</x:v>
      </x:c>
      <x:c r="J76" s="3"/>
      <x:c r="K76" s="3"/>
      <x:c r="L76"/>
    </x:row>
    <x:row r="77">
      <x:c r="A77" s="22"/>
      <x:c r="B77" s="3"/>
      <x:c r="C77" s="3" t="s">
        <x:v>146</x:v>
      </x:c>
      <x:c r="D77" s="5"/>
      <x:c r="E77" s="13"/>
      <x:c r="F77" s="4" t="str">
        <x:f t="shared" si="3"/>
      </x:c>
      <x:c r="G77" s="4" t="str">
        <x:f>IF(D77="","",D77*Parametri!$B$6)</x:f>
      </x:c>
      <x:c r="H77" s="4" t="str">
        <x:f t="shared" si="2"/>
      </x:c>
      <x:c r="I77" s="3" t="s">
        <x:v>147</x:v>
      </x:c>
      <x:c r="J77" s="3"/>
      <x:c r="K77" s="3"/>
      <x:c r="L77"/>
    </x:row>
    <x:row r="78">
      <x:c r="A78" s="22"/>
      <x:c r="B78" s="3"/>
      <x:c r="C78" s="3" t="s">
        <x:v>146</x:v>
      </x:c>
      <x:c r="D78" s="5"/>
      <x:c r="E78" s="13"/>
      <x:c r="F78" s="4" t="str">
        <x:f t="shared" si="3"/>
      </x:c>
      <x:c r="G78" s="4" t="str">
        <x:f>IF(D78="","",D78*Parametri!$B$6)</x:f>
      </x:c>
      <x:c r="H78" s="4" t="str">
        <x:f t="shared" si="2"/>
      </x:c>
      <x:c r="I78" s="3" t="s">
        <x:v>147</x:v>
      </x:c>
      <x:c r="J78" s="3"/>
      <x:c r="K78" s="3"/>
      <x:c r="L78"/>
    </x:row>
    <x:row r="79">
      <x:c r="A79" s="22"/>
      <x:c r="B79" s="3"/>
      <x:c r="C79" s="3" t="s">
        <x:v>146</x:v>
      </x:c>
      <x:c r="D79" s="5"/>
      <x:c r="E79" s="13"/>
      <x:c r="F79" s="4" t="str">
        <x:f t="shared" si="3"/>
      </x:c>
      <x:c r="G79" s="4" t="str">
        <x:f>IF(D79="","",D79*Parametri!$B$6)</x:f>
      </x:c>
      <x:c r="H79" s="4" t="str">
        <x:f t="shared" si="2"/>
      </x:c>
      <x:c r="I79" s="3" t="s">
        <x:v>147</x:v>
      </x:c>
      <x:c r="J79" s="3"/>
      <x:c r="K79" s="3"/>
      <x:c r="L79"/>
    </x:row>
    <x:row r="80">
      <x:c r="A80" s="22"/>
      <x:c r="B80" s="3"/>
      <x:c r="C80" s="3" t="s">
        <x:v>146</x:v>
      </x:c>
      <x:c r="D80" s="5"/>
      <x:c r="E80" s="13"/>
      <x:c r="F80" s="4" t="str">
        <x:f t="shared" si="3"/>
      </x:c>
      <x:c r="G80" s="4" t="str">
        <x:f>IF(D80="","",D80*Parametri!$B$6)</x:f>
      </x:c>
      <x:c r="H80" s="4" t="str">
        <x:f t="shared" si="2"/>
      </x:c>
      <x:c r="I80" s="3" t="s">
        <x:v>147</x:v>
      </x:c>
      <x:c r="J80" s="3"/>
      <x:c r="K80" s="3"/>
      <x:c r="L80"/>
    </x:row>
    <x:row r="81">
      <x:c r="A81" s="22"/>
      <x:c r="B81" s="3"/>
      <x:c r="C81" s="3" t="s">
        <x:v>146</x:v>
      </x:c>
      <x:c r="D81" s="5"/>
      <x:c r="E81" s="13"/>
      <x:c r="F81" s="4" t="str">
        <x:f t="shared" si="3"/>
      </x:c>
      <x:c r="G81" s="4" t="str">
        <x:f>IF(D81="","",D81*Parametri!$B$6)</x:f>
      </x:c>
      <x:c r="H81" s="4" t="str">
        <x:f t="shared" si="2"/>
      </x:c>
      <x:c r="I81" s="3" t="s">
        <x:v>147</x:v>
      </x:c>
      <x:c r="J81" s="3"/>
      <x:c r="K81" s="3"/>
      <x:c r="L81"/>
    </x:row>
    <x:row r="82">
      <x:c r="A82" s="22"/>
      <x:c r="B82" s="3"/>
      <x:c r="C82" s="3" t="s">
        <x:v>146</x:v>
      </x:c>
      <x:c r="D82" s="5"/>
      <x:c r="E82" s="13"/>
      <x:c r="F82" s="4" t="str">
        <x:f t="shared" si="3"/>
      </x:c>
      <x:c r="G82" s="4" t="str">
        <x:f>IF(D82="","",D82*Parametri!$B$6)</x:f>
      </x:c>
      <x:c r="H82" s="4" t="str">
        <x:f t="shared" si="2"/>
      </x:c>
      <x:c r="I82" s="3" t="s">
        <x:v>147</x:v>
      </x:c>
      <x:c r="J82" s="3"/>
      <x:c r="K82" s="3"/>
      <x:c r="L82"/>
    </x:row>
    <x:row r="83">
      <x:c r="A83" s="22"/>
      <x:c r="B83" s="3"/>
      <x:c r="C83" s="3" t="s">
        <x:v>146</x:v>
      </x:c>
      <x:c r="D83" s="5"/>
      <x:c r="E83" s="13"/>
      <x:c r="F83" s="4" t="str">
        <x:f t="shared" si="3"/>
      </x:c>
      <x:c r="G83" s="4" t="str">
        <x:f>IF(D83="","",D83*Parametri!$B$6)</x:f>
      </x:c>
      <x:c r="H83" s="4" t="str">
        <x:f t="shared" si="2"/>
      </x:c>
      <x:c r="I83" s="3" t="s">
        <x:v>147</x:v>
      </x:c>
      <x:c r="J83" s="3"/>
      <x:c r="K83" s="3"/>
      <x:c r="L83"/>
    </x:row>
    <x:row r="84">
      <x:c r="A84" s="22"/>
      <x:c r="B84" s="3"/>
      <x:c r="C84" s="3" t="s">
        <x:v>146</x:v>
      </x:c>
      <x:c r="D84" s="5"/>
      <x:c r="E84" s="13"/>
      <x:c r="F84" s="4" t="str">
        <x:f t="shared" si="3"/>
      </x:c>
      <x:c r="G84" s="4" t="str">
        <x:f>IF(D84="","",D84*Parametri!$B$6)</x:f>
      </x:c>
      <x:c r="H84" s="4" t="str">
        <x:f t="shared" si="2"/>
      </x:c>
      <x:c r="I84" s="3" t="s">
        <x:v>147</x:v>
      </x:c>
      <x:c r="J84" s="3"/>
      <x:c r="K84" s="3"/>
      <x:c r="L84"/>
    </x:row>
    <x:row r="85">
      <x:c r="A85" s="22"/>
      <x:c r="B85" s="3"/>
      <x:c r="C85" s="3" t="s">
        <x:v>146</x:v>
      </x:c>
      <x:c r="D85" s="5"/>
      <x:c r="E85" s="13"/>
      <x:c r="F85" s="4" t="str">
        <x:f t="shared" si="3"/>
      </x:c>
      <x:c r="G85" s="4" t="str">
        <x:f>IF(D85="","",D85*Parametri!$B$6)</x:f>
      </x:c>
      <x:c r="H85" s="4" t="str">
        <x:f t="shared" si="2"/>
      </x:c>
      <x:c r="I85" s="3" t="s">
        <x:v>147</x:v>
      </x:c>
      <x:c r="J85" s="3"/>
      <x:c r="K85" s="3"/>
      <x:c r="L85"/>
    </x:row>
    <x:row r="86">
      <x:c r="A86" s="22"/>
      <x:c r="B86" s="3"/>
      <x:c r="C86" s="3" t="s">
        <x:v>146</x:v>
      </x:c>
      <x:c r="D86" s="5"/>
      <x:c r="E86" s="13"/>
      <x:c r="F86" s="4" t="str">
        <x:f t="shared" si="3"/>
      </x:c>
      <x:c r="G86" s="4" t="str">
        <x:f>IF(D86="","",D86*Parametri!$B$6)</x:f>
      </x:c>
      <x:c r="H86" s="4" t="str">
        <x:f t="shared" si="2"/>
      </x:c>
      <x:c r="I86" s="3" t="s">
        <x:v>147</x:v>
      </x:c>
      <x:c r="J86" s="3"/>
      <x:c r="K86" s="3"/>
      <x:c r="L86"/>
    </x:row>
    <x:row r="87">
      <x:c r="A87" s="22"/>
      <x:c r="B87" s="3"/>
      <x:c r="C87" s="3" t="s">
        <x:v>146</x:v>
      </x:c>
      <x:c r="D87" s="5"/>
      <x:c r="E87" s="13"/>
      <x:c r="F87" s="4" t="str">
        <x:f t="shared" si="3"/>
      </x:c>
      <x:c r="G87" s="4" t="str">
        <x:f>IF(D87="","",D87*Parametri!$B$6)</x:f>
      </x:c>
      <x:c r="H87" s="4" t="str">
        <x:f t="shared" si="2"/>
      </x:c>
      <x:c r="I87" s="3" t="s">
        <x:v>147</x:v>
      </x:c>
      <x:c r="J87" s="3"/>
      <x:c r="K87" s="3"/>
      <x:c r="L87"/>
    </x:row>
    <x:row r="88">
      <x:c r="A88" s="22"/>
      <x:c r="B88" s="3"/>
      <x:c r="C88" s="3" t="s">
        <x:v>146</x:v>
      </x:c>
      <x:c r="D88" s="5"/>
      <x:c r="E88" s="13"/>
      <x:c r="F88" s="4" t="str">
        <x:f t="shared" si="3"/>
      </x:c>
      <x:c r="G88" s="4" t="str">
        <x:f>IF(D88="","",D88*Parametri!$B$6)</x:f>
      </x:c>
      <x:c r="H88" s="4" t="str">
        <x:f t="shared" si="2"/>
      </x:c>
      <x:c r="I88" s="3" t="s">
        <x:v>147</x:v>
      </x:c>
      <x:c r="J88" s="3"/>
      <x:c r="K88" s="3"/>
      <x:c r="L88"/>
    </x:row>
    <x:row r="89">
      <x:c r="A89" s="22"/>
      <x:c r="B89" s="3"/>
      <x:c r="C89" s="3" t="s">
        <x:v>146</x:v>
      </x:c>
      <x:c r="D89" s="5"/>
      <x:c r="E89" s="13"/>
      <x:c r="F89" s="4" t="str">
        <x:f t="shared" si="3"/>
      </x:c>
      <x:c r="G89" s="4" t="str">
        <x:f>IF(D89="","",D89*Parametri!$B$6)</x:f>
      </x:c>
      <x:c r="H89" s="4" t="str">
        <x:f t="shared" si="2"/>
      </x:c>
      <x:c r="I89" s="3" t="s">
        <x:v>147</x:v>
      </x:c>
      <x:c r="J89" s="3"/>
      <x:c r="K89" s="3"/>
      <x:c r="L89"/>
    </x:row>
    <x:row r="90">
      <x:c r="A90" s="22"/>
      <x:c r="B90" s="3"/>
      <x:c r="C90" s="3" t="s">
        <x:v>146</x:v>
      </x:c>
      <x:c r="D90" s="5"/>
      <x:c r="E90" s="13"/>
      <x:c r="F90" s="4" t="str">
        <x:f t="shared" si="3"/>
      </x:c>
      <x:c r="G90" s="4" t="str">
        <x:f>IF(D90="","",D90*Parametri!$B$6)</x:f>
      </x:c>
      <x:c r="H90" s="4" t="str">
        <x:f t="shared" si="2"/>
      </x:c>
      <x:c r="I90" s="3" t="s">
        <x:v>147</x:v>
      </x:c>
      <x:c r="J90" s="3"/>
      <x:c r="K90" s="3"/>
      <x:c r="L90"/>
    </x:row>
    <x:row r="91">
      <x:c r="A91" s="22"/>
      <x:c r="B91" s="3"/>
      <x:c r="C91" s="3" t="s">
        <x:v>146</x:v>
      </x:c>
      <x:c r="D91" s="5"/>
      <x:c r="E91" s="13"/>
      <x:c r="F91" s="4" t="str">
        <x:f t="shared" si="3"/>
      </x:c>
      <x:c r="G91" s="4" t="str">
        <x:f>IF(D91="","",D91*Parametri!$B$6)</x:f>
      </x:c>
      <x:c r="H91" s="4" t="str">
        <x:f t="shared" si="2"/>
      </x:c>
      <x:c r="I91" s="3" t="s">
        <x:v>147</x:v>
      </x:c>
      <x:c r="J91" s="3"/>
      <x:c r="K91" s="3"/>
      <x:c r="L91"/>
    </x:row>
    <x:row r="92">
      <x:c r="A92" s="22"/>
      <x:c r="B92" s="3"/>
      <x:c r="C92" s="3" t="s">
        <x:v>146</x:v>
      </x:c>
      <x:c r="D92" s="5"/>
      <x:c r="E92" s="13"/>
      <x:c r="F92" s="4" t="str">
        <x:f t="shared" si="3"/>
      </x:c>
      <x:c r="G92" s="4" t="str">
        <x:f>IF(D92="","",D92*Parametri!$B$6)</x:f>
      </x:c>
      <x:c r="H92" s="4" t="str">
        <x:f t="shared" si="2"/>
      </x:c>
      <x:c r="I92" s="3" t="s">
        <x:v>147</x:v>
      </x:c>
      <x:c r="J92" s="3"/>
      <x:c r="K92" s="3"/>
      <x:c r="L92"/>
    </x:row>
    <x:row r="93">
      <x:c r="A93" s="22"/>
      <x:c r="B93" s="3"/>
      <x:c r="C93" s="3" t="s">
        <x:v>146</x:v>
      </x:c>
      <x:c r="D93" s="5"/>
      <x:c r="E93" s="13"/>
      <x:c r="F93" s="4" t="str">
        <x:f t="shared" si="3"/>
      </x:c>
      <x:c r="G93" s="4" t="str">
        <x:f>IF(D93="","",D93*Parametri!$B$6)</x:f>
      </x:c>
      <x:c r="H93" s="4" t="str">
        <x:f t="shared" si="2"/>
      </x:c>
      <x:c r="I93" s="3" t="s">
        <x:v>147</x:v>
      </x:c>
      <x:c r="J93" s="3"/>
      <x:c r="K93" s="3"/>
      <x:c r="L93"/>
    </x:row>
    <x:row r="94">
      <x:c r="A94" s="22"/>
      <x:c r="B94" s="3"/>
      <x:c r="C94" s="3" t="s">
        <x:v>146</x:v>
      </x:c>
      <x:c r="D94" s="5"/>
      <x:c r="E94" s="13"/>
      <x:c r="F94" s="4" t="str">
        <x:f t="shared" si="3"/>
      </x:c>
      <x:c r="G94" s="4" t="str">
        <x:f>IF(D94="","",D94*Parametri!$B$6)</x:f>
      </x:c>
      <x:c r="H94" s="4" t="str">
        <x:f t="shared" si="2"/>
      </x:c>
      <x:c r="I94" s="3" t="s">
        <x:v>147</x:v>
      </x:c>
      <x:c r="J94" s="3"/>
      <x:c r="K94" s="3"/>
      <x:c r="L94"/>
    </x:row>
    <x:row r="95">
      <x:c r="A95" s="22"/>
      <x:c r="B95" s="3"/>
      <x:c r="C95" s="3" t="s">
        <x:v>146</x:v>
      </x:c>
      <x:c r="D95" s="5"/>
      <x:c r="E95" s="13"/>
      <x:c r="F95" s="4" t="str">
        <x:f t="shared" si="3"/>
      </x:c>
      <x:c r="G95" s="4" t="str">
        <x:f>IF(D95="","",D95*Parametri!$B$6)</x:f>
      </x:c>
      <x:c r="H95" s="4" t="str">
        <x:f t="shared" si="2"/>
      </x:c>
      <x:c r="I95" s="3" t="s">
        <x:v>147</x:v>
      </x:c>
      <x:c r="J95" s="3"/>
      <x:c r="K95" s="3"/>
      <x:c r="L95"/>
    </x:row>
    <x:row r="96">
      <x:c r="A96" s="22"/>
      <x:c r="B96" s="3"/>
      <x:c r="C96" s="3" t="s">
        <x:v>146</x:v>
      </x:c>
      <x:c r="D96" s="5"/>
      <x:c r="E96" s="13"/>
      <x:c r="F96" s="4" t="str">
        <x:f t="shared" si="3"/>
      </x:c>
      <x:c r="G96" s="4" t="str">
        <x:f>IF(D96="","",D96*Parametri!$B$6)</x:f>
      </x:c>
      <x:c r="H96" s="4" t="str">
        <x:f t="shared" si="2"/>
      </x:c>
      <x:c r="I96" s="3" t="s">
        <x:v>147</x:v>
      </x:c>
      <x:c r="J96" s="3"/>
      <x:c r="K96" s="3"/>
      <x:c r="L96"/>
    </x:row>
    <x:row r="97">
      <x:c r="A97" s="22"/>
      <x:c r="B97" s="3"/>
      <x:c r="C97" s="3" t="s">
        <x:v>146</x:v>
      </x:c>
      <x:c r="D97" s="5"/>
      <x:c r="E97" s="13"/>
      <x:c r="F97" s="4" t="str">
        <x:f t="shared" si="3"/>
      </x:c>
      <x:c r="G97" s="4" t="str">
        <x:f>IF(D97="","",D97*Parametri!$B$6)</x:f>
      </x:c>
      <x:c r="H97" s="4" t="str">
        <x:f t="shared" si="2"/>
      </x:c>
      <x:c r="I97" s="3" t="s">
        <x:v>147</x:v>
      </x:c>
      <x:c r="J97" s="3"/>
      <x:c r="K97" s="3"/>
      <x:c r="L97"/>
    </x:row>
    <x:row r="98">
      <x:c r="A98" s="22"/>
      <x:c r="B98" s="3"/>
      <x:c r="C98" s="3" t="s">
        <x:v>146</x:v>
      </x:c>
      <x:c r="D98" s="5"/>
      <x:c r="E98" s="13"/>
      <x:c r="F98" s="4" t="str">
        <x:f t="shared" si="3"/>
      </x:c>
      <x:c r="G98" s="4" t="str">
        <x:f>IF(D98="","",D98*Parametri!$B$6)</x:f>
      </x:c>
      <x:c r="H98" s="4" t="str">
        <x:f t="shared" si="2"/>
      </x:c>
      <x:c r="I98" s="3" t="s">
        <x:v>147</x:v>
      </x:c>
      <x:c r="J98" s="3"/>
      <x:c r="K98" s="3"/>
      <x:c r="L98"/>
    </x:row>
    <x:row r="99">
      <x:c r="A99" s="22"/>
      <x:c r="B99" s="3"/>
      <x:c r="C99" s="3" t="s">
        <x:v>146</x:v>
      </x:c>
      <x:c r="D99" s="5"/>
      <x:c r="E99" s="13"/>
      <x:c r="F99" s="4" t="str">
        <x:f t="shared" si="3"/>
      </x:c>
      <x:c r="G99" s="4" t="str">
        <x:f>IF(D99="","",D99*Parametri!$B$6)</x:f>
      </x:c>
      <x:c r="H99" s="4" t="str">
        <x:f t="shared" si="2"/>
      </x:c>
      <x:c r="I99" s="3" t="s">
        <x:v>147</x:v>
      </x:c>
      <x:c r="J99" s="3"/>
      <x:c r="K99" s="3"/>
      <x:c r="L99"/>
    </x:row>
    <x:row r="100">
      <x:c r="A100" s="22"/>
      <x:c r="B100" s="3"/>
      <x:c r="C100" s="3" t="s">
        <x:v>146</x:v>
      </x:c>
      <x:c r="D100" s="5"/>
      <x:c r="E100" s="13"/>
      <x:c r="F100" s="4" t="str">
        <x:f t="shared" si="3"/>
      </x:c>
      <x:c r="G100" s="4" t="str">
        <x:f>IF(D100="","",D100*Parametri!$B$6)</x:f>
      </x:c>
      <x:c r="H100" s="4" t="str">
        <x:f t="shared" si="2"/>
      </x:c>
      <x:c r="I100" s="3" t="s">
        <x:v>147</x:v>
      </x:c>
      <x:c r="J100" s="3"/>
      <x:c r="K100" s="3"/>
      <x:c r="L100"/>
    </x:row>
    <x:row r="101">
      <x:c r="A101" s="22"/>
      <x:c r="B101" s="3"/>
      <x:c r="C101" s="3" t="s">
        <x:v>146</x:v>
      </x:c>
      <x:c r="D101" s="5"/>
      <x:c r="E101" s="13"/>
      <x:c r="F101" s="4" t="str">
        <x:f t="shared" si="3"/>
      </x:c>
      <x:c r="G101" s="4" t="str">
        <x:f>IF(D101="","",D101*Parametri!$B$6)</x:f>
      </x:c>
      <x:c r="H101" s="4" t="str">
        <x:f t="shared" si="2"/>
      </x:c>
      <x:c r="I101" s="3" t="s">
        <x:v>147</x:v>
      </x:c>
      <x:c r="J101" s="3"/>
      <x:c r="K101" s="3"/>
      <x:c r="L101"/>
    </x:row>
    <x:row r="102">
      <x:c r="A102" s="22"/>
      <x:c r="B102" s="3"/>
      <x:c r="C102" s="3" t="s">
        <x:v>146</x:v>
      </x:c>
      <x:c r="D102" s="5"/>
      <x:c r="E102" s="13"/>
      <x:c r="F102" s="4" t="str">
        <x:f t="shared" si="3"/>
      </x:c>
      <x:c r="G102" s="4" t="str">
        <x:f>IF(D102="","",D102*Parametri!$B$6)</x:f>
      </x:c>
      <x:c r="H102" s="4" t="str">
        <x:f t="shared" si="2"/>
      </x:c>
      <x:c r="I102" s="3" t="s">
        <x:v>147</x:v>
      </x:c>
      <x:c r="J102" s="3"/>
      <x:c r="K102" s="3"/>
      <x:c r="L102"/>
    </x:row>
    <x:row r="103">
      <x:c r="A103" s="22"/>
      <x:c r="B103" s="3"/>
      <x:c r="C103" s="3" t="s">
        <x:v>146</x:v>
      </x:c>
      <x:c r="D103" s="5"/>
      <x:c r="E103" s="13"/>
      <x:c r="F103" s="4" t="str">
        <x:f t="shared" si="3"/>
      </x:c>
      <x:c r="G103" s="4" t="str">
        <x:f>IF(D103="","",D103*Parametri!$B$6)</x:f>
      </x:c>
      <x:c r="H103" s="4" t="str">
        <x:f t="shared" si="2"/>
      </x:c>
      <x:c r="I103" s="3" t="s">
        <x:v>147</x:v>
      </x:c>
      <x:c r="J103" s="3"/>
      <x:c r="K103" s="3"/>
      <x:c r="L103"/>
    </x:row>
    <x:row r="104">
      <x:c r="A104" s="22"/>
      <x:c r="B104" s="3"/>
      <x:c r="C104" s="3" t="s">
        <x:v>146</x:v>
      </x:c>
      <x:c r="D104" s="5"/>
      <x:c r="E104" s="13"/>
      <x:c r="F104" s="4" t="str">
        <x:f t="shared" si="3"/>
      </x:c>
      <x:c r="G104" s="4" t="str">
        <x:f>IF(D104="","",D104*Parametri!$B$6)</x:f>
      </x:c>
      <x:c r="H104" s="4" t="str">
        <x:f t="shared" si="2"/>
      </x:c>
      <x:c r="I104" s="3" t="s">
        <x:v>147</x:v>
      </x:c>
      <x:c r="J104" s="3"/>
      <x:c r="K104" s="3"/>
      <x:c r="L104"/>
    </x:row>
    <x:row r="105">
      <x:c r="A105" s="22"/>
      <x:c r="B105" s="3"/>
      <x:c r="C105" s="3" t="s">
        <x:v>146</x:v>
      </x:c>
      <x:c r="D105" s="5"/>
      <x:c r="E105" s="13"/>
      <x:c r="F105" s="4" t="str">
        <x:f t="shared" si="3"/>
      </x:c>
      <x:c r="G105" s="4" t="str">
        <x:f>IF(D105="","",D105*Parametri!$B$6)</x:f>
      </x:c>
      <x:c r="H105" s="4" t="str">
        <x:f t="shared" si="2"/>
      </x:c>
      <x:c r="I105" s="3" t="s">
        <x:v>147</x:v>
      </x:c>
      <x:c r="J105" s="3"/>
      <x:c r="K105" s="3"/>
      <x:c r="L105"/>
    </x:row>
    <x:row r="106">
      <x:c r="A106" s="22"/>
      <x:c r="B106" s="3"/>
      <x:c r="C106" s="3" t="s">
        <x:v>146</x:v>
      </x:c>
      <x:c r="D106" s="5"/>
      <x:c r="E106" s="13"/>
      <x:c r="F106" s="4" t="str">
        <x:f t="shared" si="3"/>
      </x:c>
      <x:c r="G106" s="4" t="str">
        <x:f>IF(D106="","",D106*Parametri!$B$6)</x:f>
      </x:c>
      <x:c r="H106" s="4" t="str">
        <x:f t="shared" si="2"/>
      </x:c>
      <x:c r="I106" s="3" t="s">
        <x:v>147</x:v>
      </x:c>
      <x:c r="J106" s="3"/>
      <x:c r="K106" s="3"/>
      <x:c r="L106"/>
    </x:row>
    <x:row r="107">
      <x:c r="A107" s="22"/>
      <x:c r="B107" s="3"/>
      <x:c r="C107" s="3" t="s">
        <x:v>146</x:v>
      </x:c>
      <x:c r="D107" s="5"/>
      <x:c r="E107" s="13"/>
      <x:c r="F107" s="4" t="str">
        <x:f t="shared" si="3"/>
      </x:c>
      <x:c r="G107" s="4" t="str">
        <x:f>IF(D107="","",D107*Parametri!$B$6)</x:f>
      </x:c>
      <x:c r="H107" s="4" t="str">
        <x:f t="shared" si="2"/>
      </x:c>
      <x:c r="I107" s="3" t="s">
        <x:v>147</x:v>
      </x:c>
      <x:c r="J107" s="3"/>
      <x:c r="K107" s="3"/>
      <x:c r="L107"/>
    </x:row>
    <x:row r="108">
      <x:c r="A108" s="22"/>
      <x:c r="B108" s="3"/>
      <x:c r="C108" s="3" t="s">
        <x:v>146</x:v>
      </x:c>
      <x:c r="D108" s="5"/>
      <x:c r="E108" s="13"/>
      <x:c r="F108" s="4" t="str">
        <x:f t="shared" si="3"/>
      </x:c>
      <x:c r="G108" s="4" t="str">
        <x:f>IF(D108="","",D108*Parametri!$B$6)</x:f>
      </x:c>
      <x:c r="H108" s="4" t="str">
        <x:f t="shared" si="2"/>
      </x:c>
      <x:c r="I108" s="3" t="s">
        <x:v>147</x:v>
      </x:c>
      <x:c r="J108" s="3"/>
      <x:c r="K108" s="3"/>
      <x:c r="L108"/>
    </x:row>
    <x:row r="109">
      <x:c r="A109" s="22"/>
      <x:c r="B109" s="3"/>
      <x:c r="C109" s="3" t="s">
        <x:v>146</x:v>
      </x:c>
      <x:c r="D109" s="5"/>
      <x:c r="E109" s="13"/>
      <x:c r="F109" s="4" t="str">
        <x:f t="shared" si="3"/>
      </x:c>
      <x:c r="G109" s="4" t="str">
        <x:f>IF(D109="","",D109*Parametri!$B$6)</x:f>
      </x:c>
      <x:c r="H109" s="4" t="str">
        <x:f t="shared" si="2"/>
      </x:c>
      <x:c r="I109" s="3" t="s">
        <x:v>147</x:v>
      </x:c>
      <x:c r="J109" s="3"/>
      <x:c r="K109" s="3"/>
      <x:c r="L109"/>
    </x:row>
    <x:row r="110">
      <x:c r="A110" s="22"/>
      <x:c r="B110" s="3"/>
      <x:c r="C110" s="3" t="s">
        <x:v>146</x:v>
      </x:c>
      <x:c r="D110" s="5"/>
      <x:c r="E110" s="13"/>
      <x:c r="F110" s="4" t="str">
        <x:f t="shared" si="3"/>
      </x:c>
      <x:c r="G110" s="4" t="str">
        <x:f>IF(D110="","",D110*Parametri!$B$6)</x:f>
      </x:c>
      <x:c r="H110" s="4" t="str">
        <x:f t="shared" si="2"/>
      </x:c>
      <x:c r="I110" s="3" t="s">
        <x:v>147</x:v>
      </x:c>
      <x:c r="J110" s="3"/>
      <x:c r="K110" s="3"/>
      <x:c r="L110"/>
    </x:row>
    <x:row r="111">
      <x:c r="A111" s="22"/>
      <x:c r="B111" s="3"/>
      <x:c r="C111" s="3" t="s">
        <x:v>146</x:v>
      </x:c>
      <x:c r="D111" s="5"/>
      <x:c r="E111" s="13"/>
      <x:c r="F111" s="4" t="str">
        <x:f t="shared" si="3"/>
      </x:c>
      <x:c r="G111" s="4" t="str">
        <x:f>IF(D111="","",D111*Parametri!$B$6)</x:f>
      </x:c>
      <x:c r="H111" s="4" t="str">
        <x:f t="shared" si="2"/>
      </x:c>
      <x:c r="I111" s="3" t="s">
        <x:v>147</x:v>
      </x:c>
      <x:c r="J111" s="3"/>
      <x:c r="K111" s="3"/>
      <x:c r="L111"/>
    </x:row>
    <x:row r="112">
      <x:c r="A112" s="22"/>
      <x:c r="B112" s="3"/>
      <x:c r="C112" s="3" t="s">
        <x:v>146</x:v>
      </x:c>
      <x:c r="D112" s="5"/>
      <x:c r="E112" s="13"/>
      <x:c r="F112" s="4" t="str">
        <x:f t="shared" si="3"/>
      </x:c>
      <x:c r="G112" s="4" t="str">
        <x:f>IF(D112="","",D112*Parametri!$B$6)</x:f>
      </x:c>
      <x:c r="H112" s="4" t="str">
        <x:f t="shared" si="2"/>
      </x:c>
      <x:c r="I112" s="3" t="s">
        <x:v>147</x:v>
      </x:c>
      <x:c r="J112" s="3"/>
      <x:c r="K112" s="3"/>
      <x:c r="L112"/>
    </x:row>
    <x:row r="113">
      <x:c r="A113" s="22"/>
      <x:c r="B113" s="3"/>
      <x:c r="C113" s="3" t="s">
        <x:v>146</x:v>
      </x:c>
      <x:c r="D113" s="5"/>
      <x:c r="E113" s="13"/>
      <x:c r="F113" s="4" t="str">
        <x:f t="shared" si="3"/>
      </x:c>
      <x:c r="G113" s="4" t="str">
        <x:f>IF(D113="","",D113*Parametri!$B$6)</x:f>
      </x:c>
      <x:c r="H113" s="4" t="str">
        <x:f t="shared" si="2"/>
      </x:c>
      <x:c r="I113" s="3" t="s">
        <x:v>147</x:v>
      </x:c>
      <x:c r="J113" s="3"/>
      <x:c r="K113" s="3"/>
      <x:c r="L113"/>
    </x:row>
    <x:row r="114">
      <x:c r="A114" s="22"/>
      <x:c r="B114" s="3"/>
      <x:c r="C114" s="3" t="s">
        <x:v>146</x:v>
      </x:c>
      <x:c r="D114" s="5"/>
      <x:c r="E114" s="13"/>
      <x:c r="F114" s="4" t="str">
        <x:f t="shared" si="3"/>
      </x:c>
      <x:c r="G114" s="4" t="str">
        <x:f>IF(D114="","",D114*Parametri!$B$6)</x:f>
      </x:c>
      <x:c r="H114" s="4" t="str">
        <x:f t="shared" si="2"/>
      </x:c>
      <x:c r="I114" s="3" t="s">
        <x:v>147</x:v>
      </x:c>
      <x:c r="J114" s="3"/>
      <x:c r="K114" s="3"/>
      <x:c r="L114"/>
    </x:row>
    <x:row r="115">
      <x:c r="A115" s="22"/>
      <x:c r="B115" s="3"/>
      <x:c r="C115" s="3" t="s">
        <x:v>146</x:v>
      </x:c>
      <x:c r="D115" s="5"/>
      <x:c r="E115" s="13"/>
      <x:c r="F115" s="4" t="str">
        <x:f t="shared" si="3"/>
      </x:c>
      <x:c r="G115" s="4" t="str">
        <x:f>IF(D115="","",D115*Parametri!$B$6)</x:f>
      </x:c>
      <x:c r="H115" s="4" t="str">
        <x:f t="shared" si="2"/>
      </x:c>
      <x:c r="I115" s="3" t="s">
        <x:v>147</x:v>
      </x:c>
      <x:c r="J115" s="3"/>
      <x:c r="K115" s="3"/>
      <x:c r="L115"/>
    </x:row>
    <x:row r="116">
      <x:c r="A116" s="22"/>
      <x:c r="B116" s="3"/>
      <x:c r="C116" s="3" t="s">
        <x:v>146</x:v>
      </x:c>
      <x:c r="D116" s="5"/>
      <x:c r="E116" s="13"/>
      <x:c r="F116" s="4" t="str">
        <x:f t="shared" si="3"/>
      </x:c>
      <x:c r="G116" s="4" t="str">
        <x:f>IF(D116="","",D116*Parametri!$B$6)</x:f>
      </x:c>
      <x:c r="H116" s="4" t="str">
        <x:f t="shared" si="2"/>
      </x:c>
      <x:c r="I116" s="3" t="s">
        <x:v>147</x:v>
      </x:c>
      <x:c r="J116" s="3"/>
      <x:c r="K116" s="3"/>
      <x:c r="L116"/>
    </x:row>
    <x:row r="117">
      <x:c r="A117" s="22"/>
      <x:c r="B117" s="3"/>
      <x:c r="C117" s="3" t="s">
        <x:v>146</x:v>
      </x:c>
      <x:c r="D117" s="5"/>
      <x:c r="E117" s="13"/>
      <x:c r="F117" s="4" t="str">
        <x:f t="shared" si="3"/>
      </x:c>
      <x:c r="G117" s="4" t="str">
        <x:f>IF(D117="","",D117*Parametri!$B$6)</x:f>
      </x:c>
      <x:c r="H117" s="4" t="str">
        <x:f t="shared" si="2"/>
      </x:c>
      <x:c r="I117" s="3" t="s">
        <x:v>147</x:v>
      </x:c>
      <x:c r="J117" s="3"/>
      <x:c r="K117" s="3"/>
      <x:c r="L117"/>
    </x:row>
    <x:row r="118">
      <x:c r="A118" s="22"/>
      <x:c r="B118" s="3"/>
      <x:c r="C118" s="3" t="s">
        <x:v>146</x:v>
      </x:c>
      <x:c r="D118" s="5"/>
      <x:c r="E118" s="13"/>
      <x:c r="F118" s="4" t="str">
        <x:f t="shared" si="3"/>
      </x:c>
      <x:c r="G118" s="4" t="str">
        <x:f>IF(D118="","",D118*Parametri!$B$6)</x:f>
      </x:c>
      <x:c r="H118" s="4" t="str">
        <x:f t="shared" si="2"/>
      </x:c>
      <x:c r="I118" s="3" t="s">
        <x:v>147</x:v>
      </x:c>
      <x:c r="J118" s="3"/>
      <x:c r="K118" s="3"/>
      <x:c r="L118"/>
    </x:row>
    <x:row r="119">
      <x:c r="A119" s="22"/>
      <x:c r="B119" s="3"/>
      <x:c r="C119" s="3" t="s">
        <x:v>146</x:v>
      </x:c>
      <x:c r="D119" s="5"/>
      <x:c r="E119" s="13"/>
      <x:c r="F119" s="4" t="str">
        <x:f t="shared" si="3"/>
      </x:c>
      <x:c r="G119" s="4" t="str">
        <x:f>IF(D119="","",D119*Parametri!$B$6)</x:f>
      </x:c>
      <x:c r="H119" s="4" t="str">
        <x:f t="shared" si="2"/>
      </x:c>
      <x:c r="I119" s="3" t="s">
        <x:v>147</x:v>
      </x:c>
      <x:c r="J119" s="3"/>
      <x:c r="K119" s="3"/>
      <x:c r="L119"/>
    </x:row>
    <x:row r="120">
      <x:c r="A120" s="22"/>
      <x:c r="B120" s="3"/>
      <x:c r="C120" s="3" t="s">
        <x:v>146</x:v>
      </x:c>
      <x:c r="D120" s="5"/>
      <x:c r="E120" s="13"/>
      <x:c r="F120" s="4" t="str">
        <x:f t="shared" si="3"/>
      </x:c>
      <x:c r="G120" s="4" t="str">
        <x:f>IF(D120="","",D120*Parametri!$B$6)</x:f>
      </x:c>
      <x:c r="H120" s="4" t="str">
        <x:f t="shared" si="2"/>
      </x:c>
      <x:c r="I120" s="3" t="s">
        <x:v>147</x:v>
      </x:c>
      <x:c r="J120" s="3"/>
      <x:c r="K120" s="3"/>
      <x:c r="L120"/>
    </x:row>
    <x:row r="121">
      <x:c r="A121" s="22"/>
      <x:c r="B121" s="3"/>
      <x:c r="C121" s="3" t="s">
        <x:v>146</x:v>
      </x:c>
      <x:c r="D121" s="5"/>
      <x:c r="E121" s="13"/>
      <x:c r="F121" s="4" t="str">
        <x:f t="shared" si="3"/>
      </x:c>
      <x:c r="G121" s="4" t="str">
        <x:f>IF(D121="","",D121*Parametri!$B$6)</x:f>
      </x:c>
      <x:c r="H121" s="4" t="str">
        <x:f t="shared" si="2"/>
      </x:c>
      <x:c r="I121" s="3" t="s">
        <x:v>147</x:v>
      </x:c>
      <x:c r="J121" s="3"/>
      <x:c r="K121" s="3"/>
      <x:c r="L121"/>
    </x:row>
    <x:row r="122">
      <x:c r="A122" s="22"/>
      <x:c r="B122" s="3"/>
      <x:c r="C122" s="3" t="s">
        <x:v>146</x:v>
      </x:c>
      <x:c r="D122" s="5"/>
      <x:c r="E122" s="13"/>
      <x:c r="F122" s="4" t="str">
        <x:f t="shared" si="3"/>
      </x:c>
      <x:c r="G122" s="4" t="str">
        <x:f>IF(D122="","",D122*Parametri!$B$6)</x:f>
      </x:c>
      <x:c r="H122" s="4" t="str">
        <x:f t="shared" si="2"/>
      </x:c>
      <x:c r="I122" s="3" t="s">
        <x:v>147</x:v>
      </x:c>
      <x:c r="J122" s="3"/>
      <x:c r="K122" s="3"/>
      <x:c r="L122"/>
    </x:row>
    <x:row r="123">
      <x:c r="A123" s="22"/>
      <x:c r="B123" s="3"/>
      <x:c r="C123" s="3" t="s">
        <x:v>146</x:v>
      </x:c>
      <x:c r="D123" s="5"/>
      <x:c r="E123" s="13"/>
      <x:c r="F123" s="4" t="str">
        <x:f t="shared" si="3"/>
      </x:c>
      <x:c r="G123" s="4" t="str">
        <x:f>IF(D123="","",D123*Parametri!$B$6)</x:f>
      </x:c>
      <x:c r="H123" s="4" t="str">
        <x:f t="shared" si="2"/>
      </x:c>
      <x:c r="I123" s="3" t="s">
        <x:v>147</x:v>
      </x:c>
      <x:c r="J123" s="3"/>
      <x:c r="K123" s="3"/>
      <x:c r="L123"/>
    </x:row>
    <x:row r="124">
      <x:c r="A124" s="22"/>
      <x:c r="B124" s="3"/>
      <x:c r="C124" s="3" t="s">
        <x:v>146</x:v>
      </x:c>
      <x:c r="D124" s="5"/>
      <x:c r="E124" s="13"/>
      <x:c r="F124" s="4" t="str">
        <x:f t="shared" si="3"/>
      </x:c>
      <x:c r="G124" s="4" t="str">
        <x:f>IF(D124="","",D124*Parametri!$B$6)</x:f>
      </x:c>
      <x:c r="H124" s="4" t="str">
        <x:f t="shared" si="2"/>
      </x:c>
      <x:c r="I124" s="3" t="s">
        <x:v>147</x:v>
      </x:c>
      <x:c r="J124" s="3"/>
      <x:c r="K124" s="3"/>
      <x:c r="L124"/>
    </x:row>
    <x:row r="125">
      <x:c r="A125" s="22"/>
      <x:c r="B125" s="3"/>
      <x:c r="C125" s="3" t="s">
        <x:v>146</x:v>
      </x:c>
      <x:c r="D125" s="5"/>
      <x:c r="E125" s="13"/>
      <x:c r="F125" s="4" t="str">
        <x:f t="shared" si="3"/>
      </x:c>
      <x:c r="G125" s="4" t="str">
        <x:f>IF(D125="","",D125*Parametri!$B$6)</x:f>
      </x:c>
      <x:c r="H125" s="4" t="str">
        <x:f t="shared" si="2"/>
      </x:c>
      <x:c r="I125" s="3" t="s">
        <x:v>147</x:v>
      </x:c>
      <x:c r="J125" s="3"/>
      <x:c r="K125" s="3"/>
      <x:c r="L125"/>
    </x:row>
    <x:row r="126">
      <x:c r="A126" s="22"/>
      <x:c r="B126" s="3"/>
      <x:c r="C126" s="3" t="s">
        <x:v>146</x:v>
      </x:c>
      <x:c r="D126" s="5"/>
      <x:c r="E126" s="13"/>
      <x:c r="F126" s="4" t="str">
        <x:f t="shared" si="3"/>
      </x:c>
      <x:c r="G126" s="4" t="str">
        <x:f>IF(D126="","",D126*Parametri!$B$6)</x:f>
      </x:c>
      <x:c r="H126" s="4" t="str">
        <x:f t="shared" si="2"/>
      </x:c>
      <x:c r="I126" s="3" t="s">
        <x:v>147</x:v>
      </x:c>
      <x:c r="J126" s="3"/>
      <x:c r="K126" s="3"/>
      <x:c r="L126"/>
    </x:row>
    <x:row r="127">
      <x:c r="A127" s="22"/>
      <x:c r="B127" s="3"/>
      <x:c r="C127" s="3" t="s">
        <x:v>146</x:v>
      </x:c>
      <x:c r="D127" s="5"/>
      <x:c r="E127" s="13"/>
      <x:c r="F127" s="4" t="str">
        <x:f t="shared" si="3"/>
      </x:c>
      <x:c r="G127" s="4" t="str">
        <x:f>IF(D127="","",D127*Parametri!$B$6)</x:f>
      </x:c>
      <x:c r="H127" s="4" t="str">
        <x:f t="shared" si="2"/>
      </x:c>
      <x:c r="I127" s="3" t="s">
        <x:v>147</x:v>
      </x:c>
      <x:c r="J127" s="3"/>
      <x:c r="K127" s="3"/>
      <x:c r="L127"/>
    </x:row>
    <x:row r="128">
      <x:c r="A128" s="22"/>
      <x:c r="B128" s="3"/>
      <x:c r="C128" s="3" t="s">
        <x:v>146</x:v>
      </x:c>
      <x:c r="D128" s="5"/>
      <x:c r="E128" s="13"/>
      <x:c r="F128" s="4" t="str">
        <x:f t="shared" si="3"/>
      </x:c>
      <x:c r="G128" s="4" t="str">
        <x:f>IF(D128="","",D128*Parametri!$B$6)</x:f>
      </x:c>
      <x:c r="H128" s="4" t="str">
        <x:f t="shared" si="2"/>
      </x:c>
      <x:c r="I128" s="3" t="s">
        <x:v>147</x:v>
      </x:c>
      <x:c r="J128" s="3"/>
      <x:c r="K128" s="3"/>
      <x:c r="L128"/>
    </x:row>
    <x:row r="129">
      <x:c r="A129" s="22"/>
      <x:c r="B129" s="3"/>
      <x:c r="C129" s="3" t="s">
        <x:v>146</x:v>
      </x:c>
      <x:c r="D129" s="5"/>
      <x:c r="E129" s="13"/>
      <x:c r="F129" s="4" t="str">
        <x:f t="shared" si="3"/>
      </x:c>
      <x:c r="G129" s="4" t="str">
        <x:f>IF(D129="","",D129*Parametri!$B$6)</x:f>
      </x:c>
      <x:c r="H129" s="4" t="str">
        <x:f t="shared" si="2"/>
      </x:c>
      <x:c r="I129" s="3" t="s">
        <x:v>147</x:v>
      </x:c>
      <x:c r="J129" s="3"/>
      <x:c r="K129" s="3"/>
      <x:c r="L129"/>
    </x:row>
    <x:row r="130">
      <x:c r="A130" s="22"/>
      <x:c r="B130" s="3"/>
      <x:c r="C130" s="3" t="s">
        <x:v>146</x:v>
      </x:c>
      <x:c r="D130" s="5"/>
      <x:c r="E130" s="13"/>
      <x:c r="F130" s="4" t="str">
        <x:f t="shared" si="3"/>
      </x:c>
      <x:c r="G130" s="4" t="str">
        <x:f>IF(D130="","",D130*Parametri!$B$6)</x:f>
      </x:c>
      <x:c r="H130" s="4" t="str">
        <x:f t="shared" si="2"/>
      </x:c>
      <x:c r="I130" s="3" t="s">
        <x:v>147</x:v>
      </x:c>
      <x:c r="J130" s="3"/>
      <x:c r="K130" s="3"/>
      <x:c r="L130"/>
    </x:row>
    <x:row r="131">
      <x:c r="A131" s="22"/>
      <x:c r="B131" s="3"/>
      <x:c r="C131" s="3" t="s">
        <x:v>146</x:v>
      </x:c>
      <x:c r="D131" s="5"/>
      <x:c r="E131" s="13"/>
      <x:c r="F131" s="4" t="str">
        <x:f t="shared" si="3"/>
      </x:c>
      <x:c r="G131" s="4" t="str">
        <x:f>IF(D131="","",D131*Parametri!$B$6)</x:f>
      </x:c>
      <x:c r="H131" s="4" t="str">
        <x:f t="shared" si="2"/>
      </x:c>
      <x:c r="I131" s="3" t="s">
        <x:v>147</x:v>
      </x:c>
      <x:c r="J131" s="3"/>
      <x:c r="K131" s="3"/>
      <x:c r="L131"/>
    </x:row>
    <x:row r="132">
      <x:c r="A132" s="22"/>
      <x:c r="B132" s="3"/>
      <x:c r="C132" s="3" t="s">
        <x:v>146</x:v>
      </x:c>
      <x:c r="D132" s="5"/>
      <x:c r="E132" s="13"/>
      <x:c r="F132" s="4" t="str">
        <x:f t="shared" si="3"/>
      </x:c>
      <x:c r="G132" s="4" t="str">
        <x:f>IF(D132="","",D132*Parametri!$B$6)</x:f>
      </x:c>
      <x:c r="H132" s="4" t="str">
        <x:f t="shared" ref="H132:H195" si="4">IF(F132="","",F132-G132)</x:f>
      </x:c>
      <x:c r="I132" s="3" t="s">
        <x:v>147</x:v>
      </x:c>
      <x:c r="J132" s="3"/>
      <x:c r="K132" s="3"/>
      <x:c r="L132"/>
    </x:row>
    <x:row r="133">
      <x:c r="A133" s="22"/>
      <x:c r="B133" s="3"/>
      <x:c r="C133" s="3" t="s">
        <x:v>146</x:v>
      </x:c>
      <x:c r="D133" s="5"/>
      <x:c r="E133" s="13"/>
      <x:c r="F133" s="4" t="str">
        <x:f t="shared" si="3"/>
      </x:c>
      <x:c r="G133" s="4" t="str">
        <x:f>IF(D133="","",D133*Parametri!$B$6)</x:f>
      </x:c>
      <x:c r="H133" s="4" t="str">
        <x:f t="shared" si="4"/>
      </x:c>
      <x:c r="I133" s="3" t="s">
        <x:v>147</x:v>
      </x:c>
      <x:c r="J133" s="3"/>
      <x:c r="K133" s="3"/>
      <x:c r="L133"/>
    </x:row>
    <x:row r="134">
      <x:c r="A134" s="22"/>
      <x:c r="B134" s="3"/>
      <x:c r="C134" s="3" t="s">
        <x:v>146</x:v>
      </x:c>
      <x:c r="D134" s="5"/>
      <x:c r="E134" s="13"/>
      <x:c r="F134" s="4" t="str">
        <x:f t="shared" si="3"/>
      </x:c>
      <x:c r="G134" s="4" t="str">
        <x:f>IF(D134="","",D134*Parametri!$B$6)</x:f>
      </x:c>
      <x:c r="H134" s="4" t="str">
        <x:f t="shared" si="4"/>
      </x:c>
      <x:c r="I134" s="3" t="s">
        <x:v>147</x:v>
      </x:c>
      <x:c r="J134" s="3"/>
      <x:c r="K134" s="3"/>
      <x:c r="L134"/>
    </x:row>
    <x:row r="135">
      <x:c r="A135" s="22"/>
      <x:c r="B135" s="3"/>
      <x:c r="C135" s="3" t="s">
        <x:v>146</x:v>
      </x:c>
      <x:c r="D135" s="5"/>
      <x:c r="E135" s="13"/>
      <x:c r="F135" s="4" t="str">
        <x:f t="shared" si="3"/>
      </x:c>
      <x:c r="G135" s="4" t="str">
        <x:f>IF(D135="","",D135*Parametri!$B$6)</x:f>
      </x:c>
      <x:c r="H135" s="4" t="str">
        <x:f t="shared" si="4"/>
      </x:c>
      <x:c r="I135" s="3" t="s">
        <x:v>147</x:v>
      </x:c>
      <x:c r="J135" s="3"/>
      <x:c r="K135" s="3"/>
      <x:c r="L135"/>
    </x:row>
    <x:row r="136">
      <x:c r="A136" s="22"/>
      <x:c r="B136" s="3"/>
      <x:c r="C136" s="3" t="s">
        <x:v>146</x:v>
      </x:c>
      <x:c r="D136" s="5"/>
      <x:c r="E136" s="13"/>
      <x:c r="F136" s="4" t="str">
        <x:f t="shared" si="3"/>
      </x:c>
      <x:c r="G136" s="4" t="str">
        <x:f>IF(D136="","",D136*Parametri!$B$6)</x:f>
      </x:c>
      <x:c r="H136" s="4" t="str">
        <x:f t="shared" si="4"/>
      </x:c>
      <x:c r="I136" s="3" t="s">
        <x:v>147</x:v>
      </x:c>
      <x:c r="J136" s="3"/>
      <x:c r="K136" s="3"/>
      <x:c r="L136"/>
    </x:row>
    <x:row r="137">
      <x:c r="A137" s="22"/>
      <x:c r="B137" s="3"/>
      <x:c r="C137" s="3" t="s">
        <x:v>146</x:v>
      </x:c>
      <x:c r="D137" s="5"/>
      <x:c r="E137" s="13"/>
      <x:c r="F137" s="4" t="str">
        <x:f t="shared" si="3"/>
      </x:c>
      <x:c r="G137" s="4" t="str">
        <x:f>IF(D137="","",D137*Parametri!$B$6)</x:f>
      </x:c>
      <x:c r="H137" s="4" t="str">
        <x:f t="shared" si="4"/>
      </x:c>
      <x:c r="I137" s="3" t="s">
        <x:v>147</x:v>
      </x:c>
      <x:c r="J137" s="3"/>
      <x:c r="K137" s="3"/>
      <x:c r="L137"/>
    </x:row>
    <x:row r="138">
      <x:c r="A138" s="22"/>
      <x:c r="B138" s="3"/>
      <x:c r="C138" s="3" t="s">
        <x:v>146</x:v>
      </x:c>
      <x:c r="D138" s="5"/>
      <x:c r="E138" s="13"/>
      <x:c r="F138" s="4" t="str">
        <x:f t="shared" si="3"/>
      </x:c>
      <x:c r="G138" s="4" t="str">
        <x:f>IF(D138="","",D138*Parametri!$B$6)</x:f>
      </x:c>
      <x:c r="H138" s="4" t="str">
        <x:f t="shared" si="4"/>
      </x:c>
      <x:c r="I138" s="3" t="s">
        <x:v>147</x:v>
      </x:c>
      <x:c r="J138" s="3"/>
      <x:c r="K138" s="3"/>
      <x:c r="L138"/>
    </x:row>
    <x:row r="139">
      <x:c r="A139" s="22"/>
      <x:c r="B139" s="3"/>
      <x:c r="C139" s="3" t="s">
        <x:v>146</x:v>
      </x:c>
      <x:c r="D139" s="5"/>
      <x:c r="E139" s="13"/>
      <x:c r="F139" s="4" t="str">
        <x:f t="shared" ref="F139:F202" si="5">IF(OR(D139="",E139=""),"",D139*E139)</x:f>
      </x:c>
      <x:c r="G139" s="4" t="str">
        <x:f>IF(D139="","",D139*Parametri!$B$6)</x:f>
      </x:c>
      <x:c r="H139" s="4" t="str">
        <x:f t="shared" si="4"/>
      </x:c>
      <x:c r="I139" s="3" t="s">
        <x:v>147</x:v>
      </x:c>
      <x:c r="J139" s="3"/>
      <x:c r="K139" s="3"/>
      <x:c r="L139"/>
    </x:row>
    <x:row r="140">
      <x:c r="A140" s="22"/>
      <x:c r="B140" s="3"/>
      <x:c r="C140" s="3" t="s">
        <x:v>146</x:v>
      </x:c>
      <x:c r="D140" s="5"/>
      <x:c r="E140" s="13"/>
      <x:c r="F140" s="4" t="str">
        <x:f t="shared" si="5"/>
      </x:c>
      <x:c r="G140" s="4" t="str">
        <x:f>IF(D140="","",D140*Parametri!$B$6)</x:f>
      </x:c>
      <x:c r="H140" s="4" t="str">
        <x:f t="shared" si="4"/>
      </x:c>
      <x:c r="I140" s="3" t="s">
        <x:v>147</x:v>
      </x:c>
      <x:c r="J140" s="3"/>
      <x:c r="K140" s="3"/>
      <x:c r="L140"/>
    </x:row>
    <x:row r="141">
      <x:c r="A141" s="22"/>
      <x:c r="B141" s="3"/>
      <x:c r="C141" s="3" t="s">
        <x:v>146</x:v>
      </x:c>
      <x:c r="D141" s="5"/>
      <x:c r="E141" s="13"/>
      <x:c r="F141" s="4" t="str">
        <x:f t="shared" si="5"/>
      </x:c>
      <x:c r="G141" s="4" t="str">
        <x:f>IF(D141="","",D141*Parametri!$B$6)</x:f>
      </x:c>
      <x:c r="H141" s="4" t="str">
        <x:f t="shared" si="4"/>
      </x:c>
      <x:c r="I141" s="3" t="s">
        <x:v>147</x:v>
      </x:c>
      <x:c r="J141" s="3"/>
      <x:c r="K141" s="3"/>
      <x:c r="L141"/>
    </x:row>
    <x:row r="142">
      <x:c r="A142" s="22"/>
      <x:c r="B142" s="3"/>
      <x:c r="C142" s="3" t="s">
        <x:v>146</x:v>
      </x:c>
      <x:c r="D142" s="5"/>
      <x:c r="E142" s="13"/>
      <x:c r="F142" s="4" t="str">
        <x:f t="shared" si="5"/>
      </x:c>
      <x:c r="G142" s="4" t="str">
        <x:f>IF(D142="","",D142*Parametri!$B$6)</x:f>
      </x:c>
      <x:c r="H142" s="4" t="str">
        <x:f t="shared" si="4"/>
      </x:c>
      <x:c r="I142" s="3" t="s">
        <x:v>147</x:v>
      </x:c>
      <x:c r="J142" s="3"/>
      <x:c r="K142" s="3"/>
      <x:c r="L142"/>
    </x:row>
    <x:row r="143">
      <x:c r="A143" s="22"/>
      <x:c r="B143" s="3"/>
      <x:c r="C143" s="3" t="s">
        <x:v>146</x:v>
      </x:c>
      <x:c r="D143" s="5"/>
      <x:c r="E143" s="13"/>
      <x:c r="F143" s="4" t="str">
        <x:f t="shared" si="5"/>
      </x:c>
      <x:c r="G143" s="4" t="str">
        <x:f>IF(D143="","",D143*Parametri!$B$6)</x:f>
      </x:c>
      <x:c r="H143" s="4" t="str">
        <x:f t="shared" si="4"/>
      </x:c>
      <x:c r="I143" s="3" t="s">
        <x:v>147</x:v>
      </x:c>
      <x:c r="J143" s="3"/>
      <x:c r="K143" s="3"/>
      <x:c r="L143"/>
    </x:row>
    <x:row r="144">
      <x:c r="A144" s="22"/>
      <x:c r="B144" s="3"/>
      <x:c r="C144" s="3" t="s">
        <x:v>146</x:v>
      </x:c>
      <x:c r="D144" s="5"/>
      <x:c r="E144" s="13"/>
      <x:c r="F144" s="4" t="str">
        <x:f t="shared" si="5"/>
      </x:c>
      <x:c r="G144" s="4" t="str">
        <x:f>IF(D144="","",D144*Parametri!$B$6)</x:f>
      </x:c>
      <x:c r="H144" s="4" t="str">
        <x:f t="shared" si="4"/>
      </x:c>
      <x:c r="I144" s="3" t="s">
        <x:v>147</x:v>
      </x:c>
      <x:c r="J144" s="3"/>
      <x:c r="K144" s="3"/>
      <x:c r="L144"/>
    </x:row>
    <x:row r="145">
      <x:c r="A145" s="22"/>
      <x:c r="B145" s="3"/>
      <x:c r="C145" s="3" t="s">
        <x:v>146</x:v>
      </x:c>
      <x:c r="D145" s="5"/>
      <x:c r="E145" s="13"/>
      <x:c r="F145" s="4" t="str">
        <x:f t="shared" si="5"/>
      </x:c>
      <x:c r="G145" s="4" t="str">
        <x:f>IF(D145="","",D145*Parametri!$B$6)</x:f>
      </x:c>
      <x:c r="H145" s="4" t="str">
        <x:f t="shared" si="4"/>
      </x:c>
      <x:c r="I145" s="3" t="s">
        <x:v>147</x:v>
      </x:c>
      <x:c r="J145" s="3"/>
      <x:c r="K145" s="3"/>
      <x:c r="L145"/>
    </x:row>
    <x:row r="146">
      <x:c r="A146" s="22"/>
      <x:c r="B146" s="3"/>
      <x:c r="C146" s="3" t="s">
        <x:v>146</x:v>
      </x:c>
      <x:c r="D146" s="5"/>
      <x:c r="E146" s="13"/>
      <x:c r="F146" s="4" t="str">
        <x:f t="shared" si="5"/>
      </x:c>
      <x:c r="G146" s="4" t="str">
        <x:f>IF(D146="","",D146*Parametri!$B$6)</x:f>
      </x:c>
      <x:c r="H146" s="4" t="str">
        <x:f t="shared" si="4"/>
      </x:c>
      <x:c r="I146" s="3" t="s">
        <x:v>147</x:v>
      </x:c>
      <x:c r="J146" s="3"/>
      <x:c r="K146" s="3"/>
      <x:c r="L146"/>
    </x:row>
    <x:row r="147">
      <x:c r="A147" s="22"/>
      <x:c r="B147" s="3"/>
      <x:c r="C147" s="3" t="s">
        <x:v>146</x:v>
      </x:c>
      <x:c r="D147" s="5"/>
      <x:c r="E147" s="13"/>
      <x:c r="F147" s="4" t="str">
        <x:f t="shared" si="5"/>
      </x:c>
      <x:c r="G147" s="4" t="str">
        <x:f>IF(D147="","",D147*Parametri!$B$6)</x:f>
      </x:c>
      <x:c r="H147" s="4" t="str">
        <x:f t="shared" si="4"/>
      </x:c>
      <x:c r="I147" s="3" t="s">
        <x:v>147</x:v>
      </x:c>
      <x:c r="J147" s="3"/>
      <x:c r="K147" s="3"/>
      <x:c r="L147"/>
    </x:row>
    <x:row r="148">
      <x:c r="A148" s="22"/>
      <x:c r="B148" s="3"/>
      <x:c r="C148" s="3" t="s">
        <x:v>146</x:v>
      </x:c>
      <x:c r="D148" s="5"/>
      <x:c r="E148" s="13"/>
      <x:c r="F148" s="4" t="str">
        <x:f t="shared" si="5"/>
      </x:c>
      <x:c r="G148" s="4" t="str">
        <x:f>IF(D148="","",D148*Parametri!$B$6)</x:f>
      </x:c>
      <x:c r="H148" s="4" t="str">
        <x:f t="shared" si="4"/>
      </x:c>
      <x:c r="I148" s="3" t="s">
        <x:v>147</x:v>
      </x:c>
      <x:c r="J148" s="3"/>
      <x:c r="K148" s="3"/>
      <x:c r="L148"/>
    </x:row>
    <x:row r="149">
      <x:c r="A149" s="22"/>
      <x:c r="B149" s="3"/>
      <x:c r="C149" s="3" t="s">
        <x:v>146</x:v>
      </x:c>
      <x:c r="D149" s="5"/>
      <x:c r="E149" s="13"/>
      <x:c r="F149" s="4" t="str">
        <x:f t="shared" si="5"/>
      </x:c>
      <x:c r="G149" s="4" t="str">
        <x:f>IF(D149="","",D149*Parametri!$B$6)</x:f>
      </x:c>
      <x:c r="H149" s="4" t="str">
        <x:f t="shared" si="4"/>
      </x:c>
      <x:c r="I149" s="3" t="s">
        <x:v>147</x:v>
      </x:c>
      <x:c r="J149" s="3"/>
      <x:c r="K149" s="3"/>
      <x:c r="L149"/>
    </x:row>
    <x:row r="150">
      <x:c r="A150" s="22"/>
      <x:c r="B150" s="3"/>
      <x:c r="C150" s="3" t="s">
        <x:v>146</x:v>
      </x:c>
      <x:c r="D150" s="5"/>
      <x:c r="E150" s="13"/>
      <x:c r="F150" s="4" t="str">
        <x:f t="shared" si="5"/>
      </x:c>
      <x:c r="G150" s="4" t="str">
        <x:f>IF(D150="","",D150*Parametri!$B$6)</x:f>
      </x:c>
      <x:c r="H150" s="4" t="str">
        <x:f t="shared" si="4"/>
      </x:c>
      <x:c r="I150" s="3" t="s">
        <x:v>147</x:v>
      </x:c>
      <x:c r="J150" s="3"/>
      <x:c r="K150" s="3"/>
      <x:c r="L150"/>
    </x:row>
    <x:row r="151">
      <x:c r="A151" s="22"/>
      <x:c r="B151" s="3"/>
      <x:c r="C151" s="3" t="s">
        <x:v>146</x:v>
      </x:c>
      <x:c r="D151" s="5"/>
      <x:c r="E151" s="13"/>
      <x:c r="F151" s="4" t="str">
        <x:f t="shared" si="5"/>
      </x:c>
      <x:c r="G151" s="4" t="str">
        <x:f>IF(D151="","",D151*Parametri!$B$6)</x:f>
      </x:c>
      <x:c r="H151" s="4" t="str">
        <x:f t="shared" si="4"/>
      </x:c>
      <x:c r="I151" s="3" t="s">
        <x:v>147</x:v>
      </x:c>
      <x:c r="J151" s="3"/>
      <x:c r="K151" s="3"/>
      <x:c r="L151"/>
    </x:row>
    <x:row r="152">
      <x:c r="A152" s="22"/>
      <x:c r="B152" s="3"/>
      <x:c r="C152" s="3" t="s">
        <x:v>146</x:v>
      </x:c>
      <x:c r="D152" s="5"/>
      <x:c r="E152" s="13"/>
      <x:c r="F152" s="4" t="str">
        <x:f t="shared" si="5"/>
      </x:c>
      <x:c r="G152" s="4" t="str">
        <x:f>IF(D152="","",D152*Parametri!$B$6)</x:f>
      </x:c>
      <x:c r="H152" s="4" t="str">
        <x:f t="shared" si="4"/>
      </x:c>
      <x:c r="I152" s="3" t="s">
        <x:v>147</x:v>
      </x:c>
      <x:c r="J152" s="3"/>
      <x:c r="K152" s="3"/>
      <x:c r="L152"/>
    </x:row>
    <x:row r="153">
      <x:c r="A153" s="22"/>
      <x:c r="B153" s="3"/>
      <x:c r="C153" s="3" t="s">
        <x:v>146</x:v>
      </x:c>
      <x:c r="D153" s="5"/>
      <x:c r="E153" s="13"/>
      <x:c r="F153" s="4" t="str">
        <x:f t="shared" si="5"/>
      </x:c>
      <x:c r="G153" s="4" t="str">
        <x:f>IF(D153="","",D153*Parametri!$B$6)</x:f>
      </x:c>
      <x:c r="H153" s="4" t="str">
        <x:f t="shared" si="4"/>
      </x:c>
      <x:c r="I153" s="3" t="s">
        <x:v>147</x:v>
      </x:c>
      <x:c r="J153" s="3"/>
      <x:c r="K153" s="3"/>
      <x:c r="L153"/>
    </x:row>
    <x:row r="154">
      <x:c r="A154" s="22"/>
      <x:c r="B154" s="3"/>
      <x:c r="C154" s="3" t="s">
        <x:v>146</x:v>
      </x:c>
      <x:c r="D154" s="5"/>
      <x:c r="E154" s="13"/>
      <x:c r="F154" s="4" t="str">
        <x:f t="shared" si="5"/>
      </x:c>
      <x:c r="G154" s="4" t="str">
        <x:f>IF(D154="","",D154*Parametri!$B$6)</x:f>
      </x:c>
      <x:c r="H154" s="4" t="str">
        <x:f t="shared" si="4"/>
      </x:c>
      <x:c r="I154" s="3" t="s">
        <x:v>147</x:v>
      </x:c>
      <x:c r="J154" s="3"/>
      <x:c r="K154" s="3"/>
      <x:c r="L154"/>
    </x:row>
    <x:row r="155">
      <x:c r="A155" s="22"/>
      <x:c r="B155" s="3"/>
      <x:c r="C155" s="3" t="s">
        <x:v>146</x:v>
      </x:c>
      <x:c r="D155" s="5"/>
      <x:c r="E155" s="13"/>
      <x:c r="F155" s="4" t="str">
        <x:f t="shared" si="5"/>
      </x:c>
      <x:c r="G155" s="4" t="str">
        <x:f>IF(D155="","",D155*Parametri!$B$6)</x:f>
      </x:c>
      <x:c r="H155" s="4" t="str">
        <x:f t="shared" si="4"/>
      </x:c>
      <x:c r="I155" s="3" t="s">
        <x:v>147</x:v>
      </x:c>
      <x:c r="J155" s="3"/>
      <x:c r="K155" s="3"/>
      <x:c r="L155"/>
    </x:row>
    <x:row r="156">
      <x:c r="A156" s="22"/>
      <x:c r="B156" s="3"/>
      <x:c r="C156" s="3" t="s">
        <x:v>146</x:v>
      </x:c>
      <x:c r="D156" s="5"/>
      <x:c r="E156" s="13"/>
      <x:c r="F156" s="4" t="str">
        <x:f t="shared" si="5"/>
      </x:c>
      <x:c r="G156" s="4" t="str">
        <x:f>IF(D156="","",D156*Parametri!$B$6)</x:f>
      </x:c>
      <x:c r="H156" s="4" t="str">
        <x:f t="shared" si="4"/>
      </x:c>
      <x:c r="I156" s="3" t="s">
        <x:v>147</x:v>
      </x:c>
      <x:c r="J156" s="3"/>
      <x:c r="K156" s="3"/>
      <x:c r="L156"/>
    </x:row>
    <x:row r="157">
      <x:c r="A157" s="22"/>
      <x:c r="B157" s="3"/>
      <x:c r="C157" s="3" t="s">
        <x:v>146</x:v>
      </x:c>
      <x:c r="D157" s="5"/>
      <x:c r="E157" s="13"/>
      <x:c r="F157" s="4" t="str">
        <x:f t="shared" si="5"/>
      </x:c>
      <x:c r="G157" s="4" t="str">
        <x:f>IF(D157="","",D157*Parametri!$B$6)</x:f>
      </x:c>
      <x:c r="H157" s="4" t="str">
        <x:f t="shared" si="4"/>
      </x:c>
      <x:c r="I157" s="3" t="s">
        <x:v>147</x:v>
      </x:c>
      <x:c r="J157" s="3"/>
      <x:c r="K157" s="3"/>
      <x:c r="L157"/>
    </x:row>
    <x:row r="158">
      <x:c r="A158" s="22"/>
      <x:c r="B158" s="3"/>
      <x:c r="C158" s="3" t="s">
        <x:v>146</x:v>
      </x:c>
      <x:c r="D158" s="5"/>
      <x:c r="E158" s="13"/>
      <x:c r="F158" s="4" t="str">
        <x:f t="shared" si="5"/>
      </x:c>
      <x:c r="G158" s="4" t="str">
        <x:f>IF(D158="","",D158*Parametri!$B$6)</x:f>
      </x:c>
      <x:c r="H158" s="4" t="str">
        <x:f t="shared" si="4"/>
      </x:c>
      <x:c r="I158" s="3" t="s">
        <x:v>147</x:v>
      </x:c>
      <x:c r="J158" s="3"/>
      <x:c r="K158" s="3"/>
      <x:c r="L158"/>
    </x:row>
    <x:row r="159">
      <x:c r="A159" s="22"/>
      <x:c r="B159" s="3"/>
      <x:c r="C159" s="3" t="s">
        <x:v>146</x:v>
      </x:c>
      <x:c r="D159" s="5"/>
      <x:c r="E159" s="13"/>
      <x:c r="F159" s="4" t="str">
        <x:f t="shared" si="5"/>
      </x:c>
      <x:c r="G159" s="4" t="str">
        <x:f>IF(D159="","",D159*Parametri!$B$6)</x:f>
      </x:c>
      <x:c r="H159" s="4" t="str">
        <x:f t="shared" si="4"/>
      </x:c>
      <x:c r="I159" s="3" t="s">
        <x:v>147</x:v>
      </x:c>
      <x:c r="J159" s="3"/>
      <x:c r="K159" s="3"/>
      <x:c r="L159"/>
    </x:row>
    <x:row r="160">
      <x:c r="A160" s="22"/>
      <x:c r="B160" s="3"/>
      <x:c r="C160" s="3" t="s">
        <x:v>146</x:v>
      </x:c>
      <x:c r="D160" s="5"/>
      <x:c r="E160" s="13"/>
      <x:c r="F160" s="4" t="str">
        <x:f t="shared" si="5"/>
      </x:c>
      <x:c r="G160" s="4" t="str">
        <x:f>IF(D160="","",D160*Parametri!$B$6)</x:f>
      </x:c>
      <x:c r="H160" s="4" t="str">
        <x:f t="shared" si="4"/>
      </x:c>
      <x:c r="I160" s="3" t="s">
        <x:v>147</x:v>
      </x:c>
      <x:c r="J160" s="3"/>
      <x:c r="K160" s="3"/>
      <x:c r="L160"/>
    </x:row>
    <x:row r="161">
      <x:c r="A161" s="22"/>
      <x:c r="B161" s="3"/>
      <x:c r="C161" s="3" t="s">
        <x:v>146</x:v>
      </x:c>
      <x:c r="D161" s="5"/>
      <x:c r="E161" s="13"/>
      <x:c r="F161" s="4" t="str">
        <x:f t="shared" si="5"/>
      </x:c>
      <x:c r="G161" s="4" t="str">
        <x:f>IF(D161="","",D161*Parametri!$B$6)</x:f>
      </x:c>
      <x:c r="H161" s="4" t="str">
        <x:f t="shared" si="4"/>
      </x:c>
      <x:c r="I161" s="3" t="s">
        <x:v>147</x:v>
      </x:c>
      <x:c r="J161" s="3"/>
      <x:c r="K161" s="3"/>
      <x:c r="L161"/>
    </x:row>
    <x:row r="162">
      <x:c r="A162" s="22"/>
      <x:c r="B162" s="3"/>
      <x:c r="C162" s="3" t="s">
        <x:v>146</x:v>
      </x:c>
      <x:c r="D162" s="5"/>
      <x:c r="E162" s="13"/>
      <x:c r="F162" s="4" t="str">
        <x:f t="shared" si="5"/>
      </x:c>
      <x:c r="G162" s="4" t="str">
        <x:f>IF(D162="","",D162*Parametri!$B$6)</x:f>
      </x:c>
      <x:c r="H162" s="4" t="str">
        <x:f t="shared" si="4"/>
      </x:c>
      <x:c r="I162" s="3" t="s">
        <x:v>147</x:v>
      </x:c>
      <x:c r="J162" s="3"/>
      <x:c r="K162" s="3"/>
      <x:c r="L162"/>
    </x:row>
    <x:row r="163">
      <x:c r="A163" s="22"/>
      <x:c r="B163" s="3"/>
      <x:c r="C163" s="3" t="s">
        <x:v>146</x:v>
      </x:c>
      <x:c r="D163" s="5"/>
      <x:c r="E163" s="13"/>
      <x:c r="F163" s="4" t="str">
        <x:f t="shared" si="5"/>
      </x:c>
      <x:c r="G163" s="4" t="str">
        <x:f>IF(D163="","",D163*Parametri!$B$6)</x:f>
      </x:c>
      <x:c r="H163" s="4" t="str">
        <x:f t="shared" si="4"/>
      </x:c>
      <x:c r="I163" s="3" t="s">
        <x:v>147</x:v>
      </x:c>
      <x:c r="J163" s="3"/>
      <x:c r="K163" s="3"/>
      <x:c r="L163"/>
    </x:row>
    <x:row r="164">
      <x:c r="A164" s="22"/>
      <x:c r="B164" s="3"/>
      <x:c r="C164" s="3" t="s">
        <x:v>146</x:v>
      </x:c>
      <x:c r="D164" s="5"/>
      <x:c r="E164" s="13"/>
      <x:c r="F164" s="4" t="str">
        <x:f t="shared" si="5"/>
      </x:c>
      <x:c r="G164" s="4" t="str">
        <x:f>IF(D164="","",D164*Parametri!$B$6)</x:f>
      </x:c>
      <x:c r="H164" s="4" t="str">
        <x:f t="shared" si="4"/>
      </x:c>
      <x:c r="I164" s="3" t="s">
        <x:v>147</x:v>
      </x:c>
      <x:c r="J164" s="3"/>
      <x:c r="K164" s="3"/>
      <x:c r="L164"/>
    </x:row>
    <x:row r="165">
      <x:c r="A165" s="22"/>
      <x:c r="B165" s="3"/>
      <x:c r="C165" s="3" t="s">
        <x:v>146</x:v>
      </x:c>
      <x:c r="D165" s="5"/>
      <x:c r="E165" s="13"/>
      <x:c r="F165" s="4" t="str">
        <x:f t="shared" si="5"/>
      </x:c>
      <x:c r="G165" s="4" t="str">
        <x:f>IF(D165="","",D165*Parametri!$B$6)</x:f>
      </x:c>
      <x:c r="H165" s="4" t="str">
        <x:f t="shared" si="4"/>
      </x:c>
      <x:c r="I165" s="3" t="s">
        <x:v>147</x:v>
      </x:c>
      <x:c r="J165" s="3"/>
      <x:c r="K165" s="3"/>
      <x:c r="L165"/>
    </x:row>
    <x:row r="166">
      <x:c r="A166" s="22"/>
      <x:c r="B166" s="3"/>
      <x:c r="C166" s="3" t="s">
        <x:v>146</x:v>
      </x:c>
      <x:c r="D166" s="5"/>
      <x:c r="E166" s="13"/>
      <x:c r="F166" s="4" t="str">
        <x:f t="shared" si="5"/>
      </x:c>
      <x:c r="G166" s="4" t="str">
        <x:f>IF(D166="","",D166*Parametri!$B$6)</x:f>
      </x:c>
      <x:c r="H166" s="4" t="str">
        <x:f t="shared" si="4"/>
      </x:c>
      <x:c r="I166" s="3" t="s">
        <x:v>147</x:v>
      </x:c>
      <x:c r="J166" s="3"/>
      <x:c r="K166" s="3"/>
      <x:c r="L166"/>
    </x:row>
    <x:row r="167">
      <x:c r="A167" s="22"/>
      <x:c r="B167" s="3"/>
      <x:c r="C167" s="3" t="s">
        <x:v>146</x:v>
      </x:c>
      <x:c r="D167" s="5"/>
      <x:c r="E167" s="13"/>
      <x:c r="F167" s="4" t="str">
        <x:f t="shared" si="5"/>
      </x:c>
      <x:c r="G167" s="4" t="str">
        <x:f>IF(D167="","",D167*Parametri!$B$6)</x:f>
      </x:c>
      <x:c r="H167" s="4" t="str">
        <x:f t="shared" si="4"/>
      </x:c>
      <x:c r="I167" s="3" t="s">
        <x:v>147</x:v>
      </x:c>
      <x:c r="J167" s="3"/>
      <x:c r="K167" s="3"/>
      <x:c r="L167"/>
    </x:row>
    <x:row r="168">
      <x:c r="A168" s="22"/>
      <x:c r="B168" s="3"/>
      <x:c r="C168" s="3" t="s">
        <x:v>146</x:v>
      </x:c>
      <x:c r="D168" s="5"/>
      <x:c r="E168" s="13"/>
      <x:c r="F168" s="4" t="str">
        <x:f t="shared" si="5"/>
      </x:c>
      <x:c r="G168" s="4" t="str">
        <x:f>IF(D168="","",D168*Parametri!$B$6)</x:f>
      </x:c>
      <x:c r="H168" s="4" t="str">
        <x:f t="shared" si="4"/>
      </x:c>
      <x:c r="I168" s="3" t="s">
        <x:v>147</x:v>
      </x:c>
      <x:c r="J168" s="3"/>
      <x:c r="K168" s="3"/>
      <x:c r="L168"/>
    </x:row>
    <x:row r="169">
      <x:c r="A169" s="22"/>
      <x:c r="B169" s="3"/>
      <x:c r="C169" s="3" t="s">
        <x:v>146</x:v>
      </x:c>
      <x:c r="D169" s="5"/>
      <x:c r="E169" s="13"/>
      <x:c r="F169" s="4" t="str">
        <x:f t="shared" si="5"/>
      </x:c>
      <x:c r="G169" s="4" t="str">
        <x:f>IF(D169="","",D169*Parametri!$B$6)</x:f>
      </x:c>
      <x:c r="H169" s="4" t="str">
        <x:f t="shared" si="4"/>
      </x:c>
      <x:c r="I169" s="3" t="s">
        <x:v>147</x:v>
      </x:c>
      <x:c r="J169" s="3"/>
      <x:c r="K169" s="3"/>
      <x:c r="L169"/>
    </x:row>
    <x:row r="170">
      <x:c r="A170" s="22"/>
      <x:c r="B170" s="3"/>
      <x:c r="C170" s="3" t="s">
        <x:v>146</x:v>
      </x:c>
      <x:c r="D170" s="5"/>
      <x:c r="E170" s="13"/>
      <x:c r="F170" s="4" t="str">
        <x:f t="shared" si="5"/>
      </x:c>
      <x:c r="G170" s="4" t="str">
        <x:f>IF(D170="","",D170*Parametri!$B$6)</x:f>
      </x:c>
      <x:c r="H170" s="4" t="str">
        <x:f t="shared" si="4"/>
      </x:c>
      <x:c r="I170" s="3" t="s">
        <x:v>147</x:v>
      </x:c>
      <x:c r="J170" s="3"/>
      <x:c r="K170" s="3"/>
      <x:c r="L170"/>
    </x:row>
    <x:row r="171">
      <x:c r="A171" s="22"/>
      <x:c r="B171" s="3"/>
      <x:c r="C171" s="3" t="s">
        <x:v>146</x:v>
      </x:c>
      <x:c r="D171" s="5"/>
      <x:c r="E171" s="13"/>
      <x:c r="F171" s="4" t="str">
        <x:f t="shared" si="5"/>
      </x:c>
      <x:c r="G171" s="4" t="str">
        <x:f>IF(D171="","",D171*Parametri!$B$6)</x:f>
      </x:c>
      <x:c r="H171" s="4" t="str">
        <x:f t="shared" si="4"/>
      </x:c>
      <x:c r="I171" s="3" t="s">
        <x:v>147</x:v>
      </x:c>
      <x:c r="J171" s="3"/>
      <x:c r="K171" s="3"/>
      <x:c r="L171"/>
    </x:row>
    <x:row r="172">
      <x:c r="A172" s="22"/>
      <x:c r="B172" s="3"/>
      <x:c r="C172" s="3" t="s">
        <x:v>146</x:v>
      </x:c>
      <x:c r="D172" s="5"/>
      <x:c r="E172" s="13"/>
      <x:c r="F172" s="4" t="str">
        <x:f t="shared" si="5"/>
      </x:c>
      <x:c r="G172" s="4" t="str">
        <x:f>IF(D172="","",D172*Parametri!$B$6)</x:f>
      </x:c>
      <x:c r="H172" s="4" t="str">
        <x:f t="shared" si="4"/>
      </x:c>
      <x:c r="I172" s="3" t="s">
        <x:v>147</x:v>
      </x:c>
      <x:c r="J172" s="3"/>
      <x:c r="K172" s="3"/>
      <x:c r="L172"/>
    </x:row>
    <x:row r="173">
      <x:c r="A173" s="22"/>
      <x:c r="B173" s="3"/>
      <x:c r="C173" s="3" t="s">
        <x:v>146</x:v>
      </x:c>
      <x:c r="D173" s="5"/>
      <x:c r="E173" s="13"/>
      <x:c r="F173" s="4" t="str">
        <x:f t="shared" si="5"/>
      </x:c>
      <x:c r="G173" s="4" t="str">
        <x:f>IF(D173="","",D173*Parametri!$B$6)</x:f>
      </x:c>
      <x:c r="H173" s="4" t="str">
        <x:f t="shared" si="4"/>
      </x:c>
      <x:c r="I173" s="3" t="s">
        <x:v>147</x:v>
      </x:c>
      <x:c r="J173" s="3"/>
      <x:c r="K173" s="3"/>
      <x:c r="L173"/>
    </x:row>
    <x:row r="174">
      <x:c r="A174" s="22"/>
      <x:c r="B174" s="3"/>
      <x:c r="C174" s="3" t="s">
        <x:v>146</x:v>
      </x:c>
      <x:c r="D174" s="5"/>
      <x:c r="E174" s="13"/>
      <x:c r="F174" s="4" t="str">
        <x:f t="shared" si="5"/>
      </x:c>
      <x:c r="G174" s="4" t="str">
        <x:f>IF(D174="","",D174*Parametri!$B$6)</x:f>
      </x:c>
      <x:c r="H174" s="4" t="str">
        <x:f t="shared" si="4"/>
      </x:c>
      <x:c r="I174" s="3" t="s">
        <x:v>147</x:v>
      </x:c>
      <x:c r="J174" s="3"/>
      <x:c r="K174" s="3"/>
      <x:c r="L174"/>
    </x:row>
    <x:row r="175">
      <x:c r="A175" s="22"/>
      <x:c r="B175" s="3"/>
      <x:c r="C175" s="3" t="s">
        <x:v>146</x:v>
      </x:c>
      <x:c r="D175" s="5"/>
      <x:c r="E175" s="13"/>
      <x:c r="F175" s="4" t="str">
        <x:f t="shared" si="5"/>
      </x:c>
      <x:c r="G175" s="4" t="str">
        <x:f>IF(D175="","",D175*Parametri!$B$6)</x:f>
      </x:c>
      <x:c r="H175" s="4" t="str">
        <x:f t="shared" si="4"/>
      </x:c>
      <x:c r="I175" s="3" t="s">
        <x:v>147</x:v>
      </x:c>
      <x:c r="J175" s="3"/>
      <x:c r="K175" s="3"/>
      <x:c r="L175"/>
    </x:row>
    <x:row r="176">
      <x:c r="A176" s="22"/>
      <x:c r="B176" s="3"/>
      <x:c r="C176" s="3" t="s">
        <x:v>146</x:v>
      </x:c>
      <x:c r="D176" s="5"/>
      <x:c r="E176" s="13"/>
      <x:c r="F176" s="4" t="str">
        <x:f t="shared" si="5"/>
      </x:c>
      <x:c r="G176" s="4" t="str">
        <x:f>IF(D176="","",D176*Parametri!$B$6)</x:f>
      </x:c>
      <x:c r="H176" s="4" t="str">
        <x:f t="shared" si="4"/>
      </x:c>
      <x:c r="I176" s="3" t="s">
        <x:v>147</x:v>
      </x:c>
      <x:c r="J176" s="3"/>
      <x:c r="K176" s="3"/>
      <x:c r="L176"/>
    </x:row>
    <x:row r="177">
      <x:c r="A177" s="22"/>
      <x:c r="B177" s="3"/>
      <x:c r="C177" s="3" t="s">
        <x:v>146</x:v>
      </x:c>
      <x:c r="D177" s="5"/>
      <x:c r="E177" s="13"/>
      <x:c r="F177" s="4" t="str">
        <x:f t="shared" si="5"/>
      </x:c>
      <x:c r="G177" s="4" t="str">
        <x:f>IF(D177="","",D177*Parametri!$B$6)</x:f>
      </x:c>
      <x:c r="H177" s="4" t="str">
        <x:f t="shared" si="4"/>
      </x:c>
      <x:c r="I177" s="3" t="s">
        <x:v>147</x:v>
      </x:c>
      <x:c r="J177" s="3"/>
      <x:c r="K177" s="3"/>
      <x:c r="L177"/>
    </x:row>
    <x:row r="178">
      <x:c r="A178" s="22"/>
      <x:c r="B178" s="3"/>
      <x:c r="C178" s="3" t="s">
        <x:v>146</x:v>
      </x:c>
      <x:c r="D178" s="5"/>
      <x:c r="E178" s="13"/>
      <x:c r="F178" s="4" t="str">
        <x:f t="shared" si="5"/>
      </x:c>
      <x:c r="G178" s="4" t="str">
        <x:f>IF(D178="","",D178*Parametri!$B$6)</x:f>
      </x:c>
      <x:c r="H178" s="4" t="str">
        <x:f t="shared" si="4"/>
      </x:c>
      <x:c r="I178" s="3" t="s">
        <x:v>147</x:v>
      </x:c>
      <x:c r="J178" s="3"/>
      <x:c r="K178" s="3"/>
      <x:c r="L178"/>
    </x:row>
    <x:row r="179">
      <x:c r="A179" s="22"/>
      <x:c r="B179" s="3"/>
      <x:c r="C179" s="3" t="s">
        <x:v>146</x:v>
      </x:c>
      <x:c r="D179" s="5"/>
      <x:c r="E179" s="13"/>
      <x:c r="F179" s="4" t="str">
        <x:f t="shared" si="5"/>
      </x:c>
      <x:c r="G179" s="4" t="str">
        <x:f>IF(D179="","",D179*Parametri!$B$6)</x:f>
      </x:c>
      <x:c r="H179" s="4" t="str">
        <x:f t="shared" si="4"/>
      </x:c>
      <x:c r="I179" s="3" t="s">
        <x:v>147</x:v>
      </x:c>
      <x:c r="J179" s="3"/>
      <x:c r="K179" s="3"/>
      <x:c r="L179"/>
    </x:row>
    <x:row r="180">
      <x:c r="A180" s="22"/>
      <x:c r="B180" s="3"/>
      <x:c r="C180" s="3" t="s">
        <x:v>146</x:v>
      </x:c>
      <x:c r="D180" s="5"/>
      <x:c r="E180" s="13"/>
      <x:c r="F180" s="4" t="str">
        <x:f t="shared" si="5"/>
      </x:c>
      <x:c r="G180" s="4" t="str">
        <x:f>IF(D180="","",D180*Parametri!$B$6)</x:f>
      </x:c>
      <x:c r="H180" s="4" t="str">
        <x:f t="shared" si="4"/>
      </x:c>
      <x:c r="I180" s="3" t="s">
        <x:v>147</x:v>
      </x:c>
      <x:c r="J180" s="3"/>
      <x:c r="K180" s="3"/>
      <x:c r="L180"/>
    </x:row>
    <x:row r="181">
      <x:c r="A181" s="22"/>
      <x:c r="B181" s="3"/>
      <x:c r="C181" s="3" t="s">
        <x:v>146</x:v>
      </x:c>
      <x:c r="D181" s="5"/>
      <x:c r="E181" s="13"/>
      <x:c r="F181" s="4" t="str">
        <x:f t="shared" si="5"/>
      </x:c>
      <x:c r="G181" s="4" t="str">
        <x:f>IF(D181="","",D181*Parametri!$B$6)</x:f>
      </x:c>
      <x:c r="H181" s="4" t="str">
        <x:f t="shared" si="4"/>
      </x:c>
      <x:c r="I181" s="3" t="s">
        <x:v>147</x:v>
      </x:c>
      <x:c r="J181" s="3"/>
      <x:c r="K181" s="3"/>
      <x:c r="L181"/>
    </x:row>
    <x:row r="182">
      <x:c r="A182" s="22"/>
      <x:c r="B182" s="3"/>
      <x:c r="C182" s="3" t="s">
        <x:v>146</x:v>
      </x:c>
      <x:c r="D182" s="5"/>
      <x:c r="E182" s="13"/>
      <x:c r="F182" s="4" t="str">
        <x:f t="shared" si="5"/>
      </x:c>
      <x:c r="G182" s="4" t="str">
        <x:f>IF(D182="","",D182*Parametri!$B$6)</x:f>
      </x:c>
      <x:c r="H182" s="4" t="str">
        <x:f t="shared" si="4"/>
      </x:c>
      <x:c r="I182" s="3" t="s">
        <x:v>147</x:v>
      </x:c>
      <x:c r="J182" s="3"/>
      <x:c r="K182" s="3"/>
      <x:c r="L182"/>
    </x:row>
    <x:row r="183">
      <x:c r="A183" s="22"/>
      <x:c r="B183" s="3"/>
      <x:c r="C183" s="3" t="s">
        <x:v>146</x:v>
      </x:c>
      <x:c r="D183" s="5"/>
      <x:c r="E183" s="13"/>
      <x:c r="F183" s="4" t="str">
        <x:f t="shared" si="5"/>
      </x:c>
      <x:c r="G183" s="4" t="str">
        <x:f>IF(D183="","",D183*Parametri!$B$6)</x:f>
      </x:c>
      <x:c r="H183" s="4" t="str">
        <x:f t="shared" si="4"/>
      </x:c>
      <x:c r="I183" s="3" t="s">
        <x:v>147</x:v>
      </x:c>
      <x:c r="J183" s="3"/>
      <x:c r="K183" s="3"/>
      <x:c r="L183"/>
    </x:row>
    <x:row r="184">
      <x:c r="A184" s="22"/>
      <x:c r="B184" s="3"/>
      <x:c r="C184" s="3" t="s">
        <x:v>146</x:v>
      </x:c>
      <x:c r="D184" s="5"/>
      <x:c r="E184" s="13"/>
      <x:c r="F184" s="4" t="str">
        <x:f t="shared" si="5"/>
      </x:c>
      <x:c r="G184" s="4" t="str">
        <x:f>IF(D184="","",D184*Parametri!$B$6)</x:f>
      </x:c>
      <x:c r="H184" s="4" t="str">
        <x:f t="shared" si="4"/>
      </x:c>
      <x:c r="I184" s="3" t="s">
        <x:v>147</x:v>
      </x:c>
      <x:c r="J184" s="3"/>
      <x:c r="K184" s="3"/>
      <x:c r="L184"/>
    </x:row>
    <x:row r="185">
      <x:c r="A185" s="22"/>
      <x:c r="B185" s="3"/>
      <x:c r="C185" s="3" t="s">
        <x:v>146</x:v>
      </x:c>
      <x:c r="D185" s="5"/>
      <x:c r="E185" s="13"/>
      <x:c r="F185" s="4" t="str">
        <x:f t="shared" si="5"/>
      </x:c>
      <x:c r="G185" s="4" t="str">
        <x:f>IF(D185="","",D185*Parametri!$B$6)</x:f>
      </x:c>
      <x:c r="H185" s="4" t="str">
        <x:f t="shared" si="4"/>
      </x:c>
      <x:c r="I185" s="3" t="s">
        <x:v>147</x:v>
      </x:c>
      <x:c r="J185" s="3"/>
      <x:c r="K185" s="3"/>
      <x:c r="L185"/>
    </x:row>
    <x:row r="186">
      <x:c r="A186" s="22"/>
      <x:c r="B186" s="3"/>
      <x:c r="C186" s="3" t="s">
        <x:v>146</x:v>
      </x:c>
      <x:c r="D186" s="5"/>
      <x:c r="E186" s="13"/>
      <x:c r="F186" s="4" t="str">
        <x:f t="shared" si="5"/>
      </x:c>
      <x:c r="G186" s="4" t="str">
        <x:f>IF(D186="","",D186*Parametri!$B$6)</x:f>
      </x:c>
      <x:c r="H186" s="4" t="str">
        <x:f t="shared" si="4"/>
      </x:c>
      <x:c r="I186" s="3" t="s">
        <x:v>147</x:v>
      </x:c>
      <x:c r="J186" s="3"/>
      <x:c r="K186" s="3"/>
      <x:c r="L186"/>
    </x:row>
    <x:row r="187">
      <x:c r="A187" s="22"/>
      <x:c r="B187" s="3"/>
      <x:c r="C187" s="3" t="s">
        <x:v>146</x:v>
      </x:c>
      <x:c r="D187" s="5"/>
      <x:c r="E187" s="13"/>
      <x:c r="F187" s="4" t="str">
        <x:f t="shared" si="5"/>
      </x:c>
      <x:c r="G187" s="4" t="str">
        <x:f>IF(D187="","",D187*Parametri!$B$6)</x:f>
      </x:c>
      <x:c r="H187" s="4" t="str">
        <x:f t="shared" si="4"/>
      </x:c>
      <x:c r="I187" s="3" t="s">
        <x:v>147</x:v>
      </x:c>
      <x:c r="J187" s="3"/>
      <x:c r="K187" s="3"/>
      <x:c r="L187"/>
    </x:row>
    <x:row r="188">
      <x:c r="A188" s="22"/>
      <x:c r="B188" s="3"/>
      <x:c r="C188" s="3" t="s">
        <x:v>146</x:v>
      </x:c>
      <x:c r="D188" s="5"/>
      <x:c r="E188" s="13"/>
      <x:c r="F188" s="4" t="str">
        <x:f t="shared" si="5"/>
      </x:c>
      <x:c r="G188" s="4" t="str">
        <x:f>IF(D188="","",D188*Parametri!$B$6)</x:f>
      </x:c>
      <x:c r="H188" s="4" t="str">
        <x:f t="shared" si="4"/>
      </x:c>
      <x:c r="I188" s="3" t="s">
        <x:v>147</x:v>
      </x:c>
      <x:c r="J188" s="3"/>
      <x:c r="K188" s="3"/>
      <x:c r="L188"/>
    </x:row>
    <x:row r="189">
      <x:c r="A189" s="22"/>
      <x:c r="B189" s="3"/>
      <x:c r="C189" s="3" t="s">
        <x:v>146</x:v>
      </x:c>
      <x:c r="D189" s="5"/>
      <x:c r="E189" s="13"/>
      <x:c r="F189" s="4" t="str">
        <x:f t="shared" si="5"/>
      </x:c>
      <x:c r="G189" s="4" t="str">
        <x:f>IF(D189="","",D189*Parametri!$B$6)</x:f>
      </x:c>
      <x:c r="H189" s="4" t="str">
        <x:f t="shared" si="4"/>
      </x:c>
      <x:c r="I189" s="3" t="s">
        <x:v>147</x:v>
      </x:c>
      <x:c r="J189" s="3"/>
      <x:c r="K189" s="3"/>
      <x:c r="L189"/>
    </x:row>
    <x:row r="190">
      <x:c r="A190" s="22"/>
      <x:c r="B190" s="3"/>
      <x:c r="C190" s="3" t="s">
        <x:v>146</x:v>
      </x:c>
      <x:c r="D190" s="5"/>
      <x:c r="E190" s="13"/>
      <x:c r="F190" s="4" t="str">
        <x:f t="shared" si="5"/>
      </x:c>
      <x:c r="G190" s="4" t="str">
        <x:f>IF(D190="","",D190*Parametri!$B$6)</x:f>
      </x:c>
      <x:c r="H190" s="4" t="str">
        <x:f t="shared" si="4"/>
      </x:c>
      <x:c r="I190" s="3" t="s">
        <x:v>147</x:v>
      </x:c>
      <x:c r="J190" s="3"/>
      <x:c r="K190" s="3"/>
      <x:c r="L190"/>
    </x:row>
    <x:row r="191">
      <x:c r="A191" s="22"/>
      <x:c r="B191" s="3"/>
      <x:c r="C191" s="3" t="s">
        <x:v>146</x:v>
      </x:c>
      <x:c r="D191" s="5"/>
      <x:c r="E191" s="13"/>
      <x:c r="F191" s="4" t="str">
        <x:f t="shared" si="5"/>
      </x:c>
      <x:c r="G191" s="4" t="str">
        <x:f>IF(D191="","",D191*Parametri!$B$6)</x:f>
      </x:c>
      <x:c r="H191" s="4" t="str">
        <x:f t="shared" si="4"/>
      </x:c>
      <x:c r="I191" s="3" t="s">
        <x:v>147</x:v>
      </x:c>
      <x:c r="J191" s="3"/>
      <x:c r="K191" s="3"/>
      <x:c r="L191"/>
    </x:row>
    <x:row r="192">
      <x:c r="A192" s="22"/>
      <x:c r="B192" s="3"/>
      <x:c r="C192" s="3" t="s">
        <x:v>146</x:v>
      </x:c>
      <x:c r="D192" s="5"/>
      <x:c r="E192" s="13"/>
      <x:c r="F192" s="4" t="str">
        <x:f t="shared" si="5"/>
      </x:c>
      <x:c r="G192" s="4" t="str">
        <x:f>IF(D192="","",D192*Parametri!$B$6)</x:f>
      </x:c>
      <x:c r="H192" s="4" t="str">
        <x:f t="shared" si="4"/>
      </x:c>
      <x:c r="I192" s="3" t="s">
        <x:v>147</x:v>
      </x:c>
      <x:c r="J192" s="3"/>
      <x:c r="K192" s="3"/>
      <x:c r="L192"/>
    </x:row>
    <x:row r="193">
      <x:c r="A193" s="22"/>
      <x:c r="B193" s="3"/>
      <x:c r="C193" s="3" t="s">
        <x:v>146</x:v>
      </x:c>
      <x:c r="D193" s="5"/>
      <x:c r="E193" s="13"/>
      <x:c r="F193" s="4" t="str">
        <x:f t="shared" si="5"/>
      </x:c>
      <x:c r="G193" s="4" t="str">
        <x:f>IF(D193="","",D193*Parametri!$B$6)</x:f>
      </x:c>
      <x:c r="H193" s="4" t="str">
        <x:f t="shared" si="4"/>
      </x:c>
      <x:c r="I193" s="3" t="s">
        <x:v>147</x:v>
      </x:c>
      <x:c r="J193" s="3"/>
      <x:c r="K193" s="3"/>
      <x:c r="L193"/>
    </x:row>
    <x:row r="194">
      <x:c r="A194" s="22"/>
      <x:c r="B194" s="3"/>
      <x:c r="C194" s="3" t="s">
        <x:v>146</x:v>
      </x:c>
      <x:c r="D194" s="5"/>
      <x:c r="E194" s="13"/>
      <x:c r="F194" s="4" t="str">
        <x:f t="shared" si="5"/>
      </x:c>
      <x:c r="G194" s="4" t="str">
        <x:f>IF(D194="","",D194*Parametri!$B$6)</x:f>
      </x:c>
      <x:c r="H194" s="4" t="str">
        <x:f t="shared" si="4"/>
      </x:c>
      <x:c r="I194" s="3" t="s">
        <x:v>147</x:v>
      </x:c>
      <x:c r="J194" s="3"/>
      <x:c r="K194" s="3"/>
      <x:c r="L194"/>
    </x:row>
    <x:row r="195">
      <x:c r="A195" s="22"/>
      <x:c r="B195" s="3"/>
      <x:c r="C195" s="3" t="s">
        <x:v>146</x:v>
      </x:c>
      <x:c r="D195" s="5"/>
      <x:c r="E195" s="13"/>
      <x:c r="F195" s="4" t="str">
        <x:f t="shared" si="5"/>
      </x:c>
      <x:c r="G195" s="4" t="str">
        <x:f>IF(D195="","",D195*Parametri!$B$6)</x:f>
      </x:c>
      <x:c r="H195" s="4" t="str">
        <x:f t="shared" si="4"/>
      </x:c>
      <x:c r="I195" s="3" t="s">
        <x:v>147</x:v>
      </x:c>
      <x:c r="J195" s="3"/>
      <x:c r="K195" s="3"/>
      <x:c r="L195"/>
    </x:row>
    <x:row r="196">
      <x:c r="A196" s="22"/>
      <x:c r="B196" s="3"/>
      <x:c r="C196" s="3" t="s">
        <x:v>146</x:v>
      </x:c>
      <x:c r="D196" s="5"/>
      <x:c r="E196" s="13"/>
      <x:c r="F196" s="4" t="str">
        <x:f t="shared" si="5"/>
      </x:c>
      <x:c r="G196" s="4" t="str">
        <x:f>IF(D196="","",D196*Parametri!$B$6)</x:f>
      </x:c>
      <x:c r="H196" s="4" t="str">
        <x:f t="shared" ref="H196:H259" si="6">IF(F196="","",F196-G196)</x:f>
      </x:c>
      <x:c r="I196" s="3" t="s">
        <x:v>147</x:v>
      </x:c>
      <x:c r="J196" s="3"/>
      <x:c r="K196" s="3"/>
      <x:c r="L196"/>
    </x:row>
    <x:row r="197">
      <x:c r="A197" s="22"/>
      <x:c r="B197" s="3"/>
      <x:c r="C197" s="3" t="s">
        <x:v>146</x:v>
      </x:c>
      <x:c r="D197" s="5"/>
      <x:c r="E197" s="13"/>
      <x:c r="F197" s="4" t="str">
        <x:f t="shared" si="5"/>
      </x:c>
      <x:c r="G197" s="4" t="str">
        <x:f>IF(D197="","",D197*Parametri!$B$6)</x:f>
      </x:c>
      <x:c r="H197" s="4" t="str">
        <x:f t="shared" si="6"/>
      </x:c>
      <x:c r="I197" s="3" t="s">
        <x:v>147</x:v>
      </x:c>
      <x:c r="J197" s="3"/>
      <x:c r="K197" s="3"/>
      <x:c r="L197"/>
    </x:row>
    <x:row r="198">
      <x:c r="A198" s="22"/>
      <x:c r="B198" s="3"/>
      <x:c r="C198" s="3" t="s">
        <x:v>146</x:v>
      </x:c>
      <x:c r="D198" s="5"/>
      <x:c r="E198" s="13"/>
      <x:c r="F198" s="4" t="str">
        <x:f t="shared" si="5"/>
      </x:c>
      <x:c r="G198" s="4" t="str">
        <x:f>IF(D198="","",D198*Parametri!$B$6)</x:f>
      </x:c>
      <x:c r="H198" s="4" t="str">
        <x:f t="shared" si="6"/>
      </x:c>
      <x:c r="I198" s="3" t="s">
        <x:v>147</x:v>
      </x:c>
      <x:c r="J198" s="3"/>
      <x:c r="K198" s="3"/>
      <x:c r="L198"/>
    </x:row>
    <x:row r="199">
      <x:c r="A199" s="8"/>
      <x:c r="B199" s="3"/>
      <x:c r="C199" s="3" t="s">
        <x:v>146</x:v>
      </x:c>
      <x:c r="D199" s="5"/>
      <x:c r="E199" s="13"/>
      <x:c r="F199" s="4" t="str">
        <x:f t="shared" si="5"/>
      </x:c>
      <x:c r="G199" s="4" t="str">
        <x:f>IF(D199="","",D199*Parametri!$B$6)</x:f>
      </x:c>
      <x:c r="H199" s="4" t="str">
        <x:f t="shared" si="6"/>
      </x:c>
      <x:c r="I199" s="3" t="s">
        <x:v>147</x:v>
      </x:c>
      <x:c r="J199" s="3"/>
      <x:c r="K199" s="3"/>
      <x:c r="L199"/>
    </x:row>
    <x:row r="200">
      <x:c r="A200" s="8"/>
      <x:c r="B200" s="3"/>
      <x:c r="C200" s="3" t="s">
        <x:v>146</x:v>
      </x:c>
      <x:c r="D200" s="5"/>
      <x:c r="E200" s="13"/>
      <x:c r="F200" s="4" t="str">
        <x:f t="shared" si="5"/>
      </x:c>
      <x:c r="G200" s="4" t="str">
        <x:f>IF(D200="","",D200*Parametri!$B$6)</x:f>
      </x:c>
      <x:c r="H200" s="4" t="str">
        <x:f t="shared" si="6"/>
      </x:c>
      <x:c r="I200" s="3" t="s">
        <x:v>147</x:v>
      </x:c>
      <x:c r="J200" s="3"/>
      <x:c r="K200" s="3"/>
      <x:c r="L200"/>
    </x:row>
    <x:row r="201">
      <x:c r="A201" s="8"/>
      <x:c r="B201" s="3"/>
      <x:c r="C201" s="3" t="s">
        <x:v>146</x:v>
      </x:c>
      <x:c r="D201" s="5"/>
      <x:c r="E201" s="13"/>
      <x:c r="F201" s="4" t="str">
        <x:f t="shared" si="5"/>
      </x:c>
      <x:c r="G201" s="4" t="str">
        <x:f>IF(D201="","",D201*Parametri!$B$6)</x:f>
      </x:c>
      <x:c r="H201" s="4" t="str">
        <x:f t="shared" si="6"/>
      </x:c>
      <x:c r="I201" s="3" t="s">
        <x:v>147</x:v>
      </x:c>
      <x:c r="J201" s="3"/>
      <x:c r="K201" s="3"/>
      <x:c r="L201"/>
    </x:row>
    <x:row r="202">
      <x:c r="A202" s="8"/>
      <x:c r="B202" s="3"/>
      <x:c r="C202" s="3" t="s">
        <x:v>146</x:v>
      </x:c>
      <x:c r="D202" s="5"/>
      <x:c r="E202" s="13"/>
      <x:c r="F202" s="4" t="str">
        <x:f t="shared" si="5"/>
      </x:c>
      <x:c r="G202" s="4" t="str">
        <x:f>IF(D202="","",D202*Parametri!$B$6)</x:f>
      </x:c>
      <x:c r="H202" s="4" t="str">
        <x:f t="shared" si="6"/>
      </x:c>
      <x:c r="I202" s="3" t="s">
        <x:v>147</x:v>
      </x:c>
      <x:c r="J202" s="3"/>
      <x:c r="K202" s="3"/>
      <x:c r="L202"/>
    </x:row>
    <x:row r="203">
      <x:c r="A203" s="8"/>
      <x:c r="B203" s="3"/>
      <x:c r="C203" s="3" t="s">
        <x:v>146</x:v>
      </x:c>
      <x:c r="D203" s="5"/>
      <x:c r="E203" s="13"/>
      <x:c r="F203" s="4" t="str">
        <x:f t="shared" ref="F203:F266" si="7">IF(OR(D203="",E203=""),"",D203*E203)</x:f>
      </x:c>
      <x:c r="G203" s="4" t="str">
        <x:f>IF(D203="","",D203*Parametri!$B$6)</x:f>
      </x:c>
      <x:c r="H203" s="4" t="str">
        <x:f t="shared" si="6"/>
      </x:c>
      <x:c r="I203" s="3" t="s">
        <x:v>147</x:v>
      </x:c>
      <x:c r="J203" s="3"/>
      <x:c r="K203" s="3"/>
      <x:c r="L203"/>
    </x:row>
    <x:row r="204">
      <x:c r="A204" s="8"/>
      <x:c r="B204" s="3"/>
      <x:c r="C204" s="3" t="s">
        <x:v>146</x:v>
      </x:c>
      <x:c r="D204" s="5"/>
      <x:c r="E204" s="13"/>
      <x:c r="F204" s="4" t="str">
        <x:f t="shared" si="7"/>
      </x:c>
      <x:c r="G204" s="4" t="str">
        <x:f>IF(D204="","",D204*Parametri!$B$6)</x:f>
      </x:c>
      <x:c r="H204" s="4" t="str">
        <x:f t="shared" si="6"/>
      </x:c>
      <x:c r="I204" s="3" t="s">
        <x:v>147</x:v>
      </x:c>
      <x:c r="J204" s="3"/>
      <x:c r="K204" s="3"/>
      <x:c r="L204"/>
    </x:row>
    <x:row r="205">
      <x:c r="A205" s="8"/>
      <x:c r="B205" s="3"/>
      <x:c r="C205" s="3" t="s">
        <x:v>146</x:v>
      </x:c>
      <x:c r="D205" s="5"/>
      <x:c r="E205" s="13"/>
      <x:c r="F205" s="4" t="str">
        <x:f t="shared" si="7"/>
      </x:c>
      <x:c r="G205" s="4" t="str">
        <x:f>IF(D205="","",D205*Parametri!$B$6)</x:f>
      </x:c>
      <x:c r="H205" s="4" t="str">
        <x:f t="shared" si="6"/>
      </x:c>
      <x:c r="I205" s="3" t="s">
        <x:v>147</x:v>
      </x:c>
      <x:c r="J205" s="3"/>
      <x:c r="K205" s="3"/>
      <x:c r="L205"/>
    </x:row>
    <x:row r="206">
      <x:c r="A206" s="8"/>
      <x:c r="B206" s="3"/>
      <x:c r="C206" s="3" t="s">
        <x:v>146</x:v>
      </x:c>
      <x:c r="D206" s="5"/>
      <x:c r="E206" s="13"/>
      <x:c r="F206" s="4" t="str">
        <x:f t="shared" si="7"/>
      </x:c>
      <x:c r="G206" s="4" t="str">
        <x:f>IF(D206="","",D206*Parametri!$B$6)</x:f>
      </x:c>
      <x:c r="H206" s="4" t="str">
        <x:f t="shared" si="6"/>
      </x:c>
      <x:c r="I206" s="3" t="s">
        <x:v>147</x:v>
      </x:c>
      <x:c r="J206" s="3"/>
      <x:c r="K206" s="3"/>
      <x:c r="L206"/>
    </x:row>
    <x:row r="207">
      <x:c r="A207" s="8"/>
      <x:c r="B207" s="3"/>
      <x:c r="C207" s="3" t="s">
        <x:v>146</x:v>
      </x:c>
      <x:c r="D207" s="5"/>
      <x:c r="E207" s="13"/>
      <x:c r="F207" s="4" t="str">
        <x:f t="shared" si="7"/>
      </x:c>
      <x:c r="G207" s="4" t="str">
        <x:f>IF(D207="","",D207*Parametri!$B$6)</x:f>
      </x:c>
      <x:c r="H207" s="4" t="str">
        <x:f t="shared" si="6"/>
      </x:c>
      <x:c r="I207" s="3" t="s">
        <x:v>147</x:v>
      </x:c>
      <x:c r="J207" s="3"/>
      <x:c r="K207" s="3"/>
      <x:c r="L207"/>
    </x:row>
    <x:row r="208">
      <x:c r="A208" s="8"/>
      <x:c r="B208" s="3"/>
      <x:c r="C208" s="3" t="s">
        <x:v>146</x:v>
      </x:c>
      <x:c r="D208" s="5"/>
      <x:c r="E208" s="13"/>
      <x:c r="F208" s="4" t="str">
        <x:f t="shared" si="7"/>
      </x:c>
      <x:c r="G208" s="4" t="str">
        <x:f>IF(D208="","",D208*Parametri!$B$6)</x:f>
      </x:c>
      <x:c r="H208" s="4" t="str">
        <x:f t="shared" si="6"/>
      </x:c>
      <x:c r="I208" s="3" t="s">
        <x:v>147</x:v>
      </x:c>
      <x:c r="J208" s="3"/>
      <x:c r="K208" s="3"/>
      <x:c r="L208"/>
    </x:row>
    <x:row r="209">
      <x:c r="A209" s="8"/>
      <x:c r="B209" s="3"/>
      <x:c r="C209" s="3" t="s">
        <x:v>146</x:v>
      </x:c>
      <x:c r="D209" s="5"/>
      <x:c r="E209" s="13"/>
      <x:c r="F209" s="4" t="str">
        <x:f t="shared" si="7"/>
      </x:c>
      <x:c r="G209" s="4" t="str">
        <x:f>IF(D209="","",D209*Parametri!$B$6)</x:f>
      </x:c>
      <x:c r="H209" s="4" t="str">
        <x:f t="shared" si="6"/>
      </x:c>
      <x:c r="I209" s="3" t="s">
        <x:v>147</x:v>
      </x:c>
      <x:c r="J209" s="3"/>
      <x:c r="K209" s="3"/>
      <x:c r="L209"/>
    </x:row>
    <x:row r="210">
      <x:c r="A210" s="8"/>
      <x:c r="B210" s="3"/>
      <x:c r="C210" s="3" t="s">
        <x:v>146</x:v>
      </x:c>
      <x:c r="D210" s="5"/>
      <x:c r="E210" s="13"/>
      <x:c r="F210" s="4" t="str">
        <x:f t="shared" si="7"/>
      </x:c>
      <x:c r="G210" s="4" t="str">
        <x:f>IF(D210="","",D210*Parametri!$B$6)</x:f>
      </x:c>
      <x:c r="H210" s="4" t="str">
        <x:f t="shared" si="6"/>
      </x:c>
      <x:c r="I210" s="3" t="s">
        <x:v>147</x:v>
      </x:c>
      <x:c r="J210" s="3"/>
      <x:c r="K210" s="3"/>
      <x:c r="L210"/>
    </x:row>
    <x:row r="211">
      <x:c r="A211" s="8"/>
      <x:c r="B211" s="3"/>
      <x:c r="C211" s="3" t="s">
        <x:v>146</x:v>
      </x:c>
      <x:c r="D211" s="5"/>
      <x:c r="E211" s="13"/>
      <x:c r="F211" s="4" t="str">
        <x:f t="shared" si="7"/>
      </x:c>
      <x:c r="G211" s="4" t="str">
        <x:f>IF(D211="","",D211*Parametri!$B$6)</x:f>
      </x:c>
      <x:c r="H211" s="4" t="str">
        <x:f t="shared" si="6"/>
      </x:c>
      <x:c r="I211" s="3" t="s">
        <x:v>147</x:v>
      </x:c>
      <x:c r="J211" s="3"/>
      <x:c r="K211" s="3"/>
      <x:c r="L211"/>
    </x:row>
    <x:row r="212">
      <x:c r="A212" s="8"/>
      <x:c r="B212" s="3"/>
      <x:c r="C212" s="3" t="s">
        <x:v>146</x:v>
      </x:c>
      <x:c r="D212" s="5"/>
      <x:c r="E212" s="13"/>
      <x:c r="F212" s="4" t="str">
        <x:f t="shared" si="7"/>
      </x:c>
      <x:c r="G212" s="4" t="str">
        <x:f>IF(D212="","",D212*Parametri!$B$6)</x:f>
      </x:c>
      <x:c r="H212" s="4" t="str">
        <x:f t="shared" si="6"/>
      </x:c>
      <x:c r="I212" s="3" t="s">
        <x:v>147</x:v>
      </x:c>
      <x:c r="J212" s="3"/>
      <x:c r="K212" s="3"/>
      <x:c r="L212"/>
    </x:row>
    <x:row r="213">
      <x:c r="A213" s="8"/>
      <x:c r="B213" s="3"/>
      <x:c r="C213" s="3" t="s">
        <x:v>146</x:v>
      </x:c>
      <x:c r="D213" s="5"/>
      <x:c r="E213" s="13"/>
      <x:c r="F213" s="4" t="str">
        <x:f t="shared" si="7"/>
      </x:c>
      <x:c r="G213" s="4" t="str">
        <x:f>IF(D213="","",D213*Parametri!$B$6)</x:f>
      </x:c>
      <x:c r="H213" s="4" t="str">
        <x:f t="shared" si="6"/>
      </x:c>
      <x:c r="I213" s="3" t="s">
        <x:v>147</x:v>
      </x:c>
      <x:c r="J213" s="3"/>
      <x:c r="K213" s="3"/>
      <x:c r="L213"/>
    </x:row>
    <x:row r="214">
      <x:c r="A214" s="8"/>
      <x:c r="B214" s="3"/>
      <x:c r="C214" s="3" t="s">
        <x:v>146</x:v>
      </x:c>
      <x:c r="D214" s="5"/>
      <x:c r="E214" s="13"/>
      <x:c r="F214" s="4" t="str">
        <x:f t="shared" si="7"/>
      </x:c>
      <x:c r="G214" s="4" t="str">
        <x:f>IF(D214="","",D214*Parametri!$B$6)</x:f>
      </x:c>
      <x:c r="H214" s="4" t="str">
        <x:f t="shared" si="6"/>
      </x:c>
      <x:c r="I214" s="3" t="s">
        <x:v>147</x:v>
      </x:c>
      <x:c r="J214" s="3"/>
      <x:c r="K214" s="3"/>
      <x:c r="L214"/>
    </x:row>
    <x:row r="215">
      <x:c r="A215" s="8"/>
      <x:c r="B215" s="3"/>
      <x:c r="C215" s="3" t="s">
        <x:v>146</x:v>
      </x:c>
      <x:c r="D215" s="5"/>
      <x:c r="E215" s="13"/>
      <x:c r="F215" s="4" t="str">
        <x:f t="shared" si="7"/>
      </x:c>
      <x:c r="G215" s="4" t="str">
        <x:f>IF(D215="","",D215*Parametri!$B$6)</x:f>
      </x:c>
      <x:c r="H215" s="4" t="str">
        <x:f t="shared" si="6"/>
      </x:c>
      <x:c r="I215" s="3" t="s">
        <x:v>147</x:v>
      </x:c>
      <x:c r="J215" s="3"/>
      <x:c r="K215" s="3"/>
      <x:c r="L215"/>
    </x:row>
    <x:row r="216">
      <x:c r="A216" s="8"/>
      <x:c r="B216" s="3"/>
      <x:c r="C216" s="3" t="s">
        <x:v>146</x:v>
      </x:c>
      <x:c r="D216" s="5"/>
      <x:c r="E216" s="13"/>
      <x:c r="F216" s="4" t="str">
        <x:f t="shared" si="7"/>
      </x:c>
      <x:c r="G216" s="4" t="str">
        <x:f>IF(D216="","",D216*Parametri!$B$6)</x:f>
      </x:c>
      <x:c r="H216" s="4" t="str">
        <x:f t="shared" si="6"/>
      </x:c>
      <x:c r="I216" s="3" t="s">
        <x:v>147</x:v>
      </x:c>
      <x:c r="J216" s="3"/>
      <x:c r="K216" s="3"/>
      <x:c r="L216"/>
    </x:row>
    <x:row r="217">
      <x:c r="A217" s="8"/>
      <x:c r="B217" s="3"/>
      <x:c r="C217" s="3" t="s">
        <x:v>146</x:v>
      </x:c>
      <x:c r="D217" s="5"/>
      <x:c r="E217" s="13"/>
      <x:c r="F217" s="4" t="str">
        <x:f t="shared" si="7"/>
      </x:c>
      <x:c r="G217" s="4" t="str">
        <x:f>IF(D217="","",D217*Parametri!$B$6)</x:f>
      </x:c>
      <x:c r="H217" s="4" t="str">
        <x:f t="shared" si="6"/>
      </x:c>
      <x:c r="I217" s="3" t="s">
        <x:v>147</x:v>
      </x:c>
      <x:c r="J217" s="3"/>
      <x:c r="K217" s="3"/>
      <x:c r="L217"/>
    </x:row>
    <x:row r="218">
      <x:c r="A218" s="8"/>
      <x:c r="B218" s="3"/>
      <x:c r="C218" s="3" t="s">
        <x:v>146</x:v>
      </x:c>
      <x:c r="D218" s="5"/>
      <x:c r="E218" s="13"/>
      <x:c r="F218" s="4" t="str">
        <x:f t="shared" si="7"/>
      </x:c>
      <x:c r="G218" s="4" t="str">
        <x:f>IF(D218="","",D218*Parametri!$B$6)</x:f>
      </x:c>
      <x:c r="H218" s="4" t="str">
        <x:f t="shared" si="6"/>
      </x:c>
      <x:c r="I218" s="3" t="s">
        <x:v>147</x:v>
      </x:c>
      <x:c r="J218" s="3"/>
      <x:c r="K218" s="3"/>
      <x:c r="L218"/>
    </x:row>
    <x:row r="219">
      <x:c r="A219" s="8"/>
      <x:c r="B219" s="3"/>
      <x:c r="C219" s="3" t="s">
        <x:v>146</x:v>
      </x:c>
      <x:c r="D219" s="5"/>
      <x:c r="E219" s="13"/>
      <x:c r="F219" s="4" t="str">
        <x:f t="shared" si="7"/>
      </x:c>
      <x:c r="G219" s="4" t="str">
        <x:f>IF(D219="","",D219*Parametri!$B$6)</x:f>
      </x:c>
      <x:c r="H219" s="4" t="str">
        <x:f t="shared" si="6"/>
      </x:c>
      <x:c r="I219" s="3" t="s">
        <x:v>147</x:v>
      </x:c>
      <x:c r="J219" s="3"/>
      <x:c r="K219" s="3"/>
      <x:c r="L219"/>
    </x:row>
    <x:row r="220">
      <x:c r="A220" s="8"/>
      <x:c r="B220" s="3"/>
      <x:c r="C220" s="3" t="s">
        <x:v>146</x:v>
      </x:c>
      <x:c r="D220" s="5"/>
      <x:c r="E220" s="13"/>
      <x:c r="F220" s="4" t="str">
        <x:f t="shared" si="7"/>
      </x:c>
      <x:c r="G220" s="4" t="str">
        <x:f>IF(D220="","",D220*Parametri!$B$6)</x:f>
      </x:c>
      <x:c r="H220" s="4" t="str">
        <x:f t="shared" si="6"/>
      </x:c>
      <x:c r="I220" s="3" t="s">
        <x:v>147</x:v>
      </x:c>
      <x:c r="J220" s="3"/>
      <x:c r="K220" s="3"/>
      <x:c r="L220"/>
    </x:row>
    <x:row r="221">
      <x:c r="A221" s="8"/>
      <x:c r="B221" s="3"/>
      <x:c r="C221" s="3" t="s">
        <x:v>146</x:v>
      </x:c>
      <x:c r="D221" s="5"/>
      <x:c r="E221" s="13"/>
      <x:c r="F221" s="4" t="str">
        <x:f t="shared" si="7"/>
      </x:c>
      <x:c r="G221" s="4" t="str">
        <x:f>IF(D221="","",D221*Parametri!$B$6)</x:f>
      </x:c>
      <x:c r="H221" s="4" t="str">
        <x:f t="shared" si="6"/>
      </x:c>
      <x:c r="I221" s="3" t="s">
        <x:v>147</x:v>
      </x:c>
      <x:c r="J221" s="3"/>
      <x:c r="K221" s="3"/>
      <x:c r="L221"/>
    </x:row>
    <x:row r="222">
      <x:c r="A222" s="8"/>
      <x:c r="B222" s="3"/>
      <x:c r="C222" s="3" t="s">
        <x:v>146</x:v>
      </x:c>
      <x:c r="D222" s="5"/>
      <x:c r="E222" s="13"/>
      <x:c r="F222" s="4" t="str">
        <x:f t="shared" si="7"/>
      </x:c>
      <x:c r="G222" s="4" t="str">
        <x:f>IF(D222="","",D222*Parametri!$B$6)</x:f>
      </x:c>
      <x:c r="H222" s="4" t="str">
        <x:f t="shared" si="6"/>
      </x:c>
      <x:c r="I222" s="3" t="s">
        <x:v>147</x:v>
      </x:c>
      <x:c r="J222" s="3"/>
      <x:c r="K222" s="3"/>
      <x:c r="L222"/>
    </x:row>
    <x:row r="223">
      <x:c r="A223" s="8"/>
      <x:c r="B223" s="3"/>
      <x:c r="C223" s="3" t="s">
        <x:v>146</x:v>
      </x:c>
      <x:c r="D223" s="5"/>
      <x:c r="E223" s="13"/>
      <x:c r="F223" s="4" t="str">
        <x:f t="shared" si="7"/>
      </x:c>
      <x:c r="G223" s="4" t="str">
        <x:f>IF(D223="","",D223*Parametri!$B$6)</x:f>
      </x:c>
      <x:c r="H223" s="4" t="str">
        <x:f t="shared" si="6"/>
      </x:c>
      <x:c r="I223" s="3" t="s">
        <x:v>147</x:v>
      </x:c>
      <x:c r="J223" s="3"/>
      <x:c r="K223" s="3"/>
      <x:c r="L223"/>
    </x:row>
    <x:row r="224">
      <x:c r="A224" s="8"/>
      <x:c r="B224" s="3"/>
      <x:c r="C224" s="3" t="s">
        <x:v>146</x:v>
      </x:c>
      <x:c r="D224" s="5"/>
      <x:c r="E224" s="13"/>
      <x:c r="F224" s="4" t="str">
        <x:f t="shared" si="7"/>
      </x:c>
      <x:c r="G224" s="4" t="str">
        <x:f>IF(D224="","",D224*Parametri!$B$6)</x:f>
      </x:c>
      <x:c r="H224" s="4" t="str">
        <x:f t="shared" si="6"/>
      </x:c>
      <x:c r="I224" s="3" t="s">
        <x:v>147</x:v>
      </x:c>
      <x:c r="J224" s="3"/>
      <x:c r="K224" s="3"/>
      <x:c r="L224"/>
    </x:row>
    <x:row r="225">
      <x:c r="A225" s="8"/>
      <x:c r="B225" s="3"/>
      <x:c r="C225" s="3" t="s">
        <x:v>146</x:v>
      </x:c>
      <x:c r="D225" s="5"/>
      <x:c r="E225" s="13"/>
      <x:c r="F225" s="4" t="str">
        <x:f t="shared" si="7"/>
      </x:c>
      <x:c r="G225" s="4" t="str">
        <x:f>IF(D225="","",D225*Parametri!$B$6)</x:f>
      </x:c>
      <x:c r="H225" s="4" t="str">
        <x:f t="shared" si="6"/>
      </x:c>
      <x:c r="I225" s="3" t="s">
        <x:v>147</x:v>
      </x:c>
      <x:c r="J225" s="3"/>
      <x:c r="K225" s="3"/>
      <x:c r="L225"/>
    </x:row>
    <x:row r="226">
      <x:c r="A226" s="8"/>
      <x:c r="B226" s="3"/>
      <x:c r="C226" s="3" t="s">
        <x:v>146</x:v>
      </x:c>
      <x:c r="D226" s="5"/>
      <x:c r="E226" s="13"/>
      <x:c r="F226" s="4" t="str">
        <x:f t="shared" si="7"/>
      </x:c>
      <x:c r="G226" s="4" t="str">
        <x:f>IF(D226="","",D226*Parametri!$B$6)</x:f>
      </x:c>
      <x:c r="H226" s="4" t="str">
        <x:f t="shared" si="6"/>
      </x:c>
      <x:c r="I226" s="3" t="s">
        <x:v>147</x:v>
      </x:c>
      <x:c r="J226" s="3"/>
      <x:c r="K226" s="3"/>
      <x:c r="L226"/>
    </x:row>
    <x:row r="227">
      <x:c r="A227" s="8"/>
      <x:c r="B227" s="3"/>
      <x:c r="C227" s="3" t="s">
        <x:v>146</x:v>
      </x:c>
      <x:c r="D227" s="5"/>
      <x:c r="E227" s="13"/>
      <x:c r="F227" s="4" t="str">
        <x:f t="shared" si="7"/>
      </x:c>
      <x:c r="G227" s="4" t="str">
        <x:f>IF(D227="","",D227*Parametri!$B$6)</x:f>
      </x:c>
      <x:c r="H227" s="4" t="str">
        <x:f t="shared" si="6"/>
      </x:c>
      <x:c r="I227" s="3" t="s">
        <x:v>147</x:v>
      </x:c>
      <x:c r="J227" s="3"/>
      <x:c r="K227" s="3"/>
      <x:c r="L227"/>
    </x:row>
    <x:row r="228">
      <x:c r="A228" s="8"/>
      <x:c r="B228" s="3"/>
      <x:c r="C228" s="3" t="s">
        <x:v>146</x:v>
      </x:c>
      <x:c r="D228" s="5"/>
      <x:c r="E228" s="13"/>
      <x:c r="F228" s="4" t="str">
        <x:f t="shared" si="7"/>
      </x:c>
      <x:c r="G228" s="4" t="str">
        <x:f>IF(D228="","",D228*Parametri!$B$6)</x:f>
      </x:c>
      <x:c r="H228" s="4" t="str">
        <x:f t="shared" si="6"/>
      </x:c>
      <x:c r="I228" s="3" t="s">
        <x:v>147</x:v>
      </x:c>
      <x:c r="J228" s="3"/>
      <x:c r="K228" s="3"/>
      <x:c r="L228"/>
    </x:row>
    <x:row r="229">
      <x:c r="A229" s="8"/>
      <x:c r="B229" s="3"/>
      <x:c r="C229" s="3" t="s">
        <x:v>146</x:v>
      </x:c>
      <x:c r="D229" s="5"/>
      <x:c r="E229" s="13"/>
      <x:c r="F229" s="4" t="str">
        <x:f t="shared" si="7"/>
      </x:c>
      <x:c r="G229" s="4" t="str">
        <x:f>IF(D229="","",D229*Parametri!$B$6)</x:f>
      </x:c>
      <x:c r="H229" s="4" t="str">
        <x:f t="shared" si="6"/>
      </x:c>
      <x:c r="I229" s="3" t="s">
        <x:v>147</x:v>
      </x:c>
      <x:c r="J229" s="3"/>
      <x:c r="K229" s="3"/>
      <x:c r="L229"/>
    </x:row>
    <x:row r="230">
      <x:c r="A230" s="8"/>
      <x:c r="B230" s="3"/>
      <x:c r="C230" s="3" t="s">
        <x:v>146</x:v>
      </x:c>
      <x:c r="D230" s="5"/>
      <x:c r="E230" s="13"/>
      <x:c r="F230" s="4" t="str">
        <x:f t="shared" si="7"/>
      </x:c>
      <x:c r="G230" s="4" t="str">
        <x:f>IF(D230="","",D230*Parametri!$B$6)</x:f>
      </x:c>
      <x:c r="H230" s="4" t="str">
        <x:f t="shared" si="6"/>
      </x:c>
      <x:c r="I230" s="3" t="s">
        <x:v>147</x:v>
      </x:c>
      <x:c r="J230" s="3"/>
      <x:c r="K230" s="3"/>
      <x:c r="L230"/>
    </x:row>
    <x:row r="231">
      <x:c r="A231" s="8"/>
      <x:c r="B231" s="3"/>
      <x:c r="C231" s="3" t="s">
        <x:v>146</x:v>
      </x:c>
      <x:c r="D231" s="5"/>
      <x:c r="E231" s="13"/>
      <x:c r="F231" s="4" t="str">
        <x:f t="shared" si="7"/>
      </x:c>
      <x:c r="G231" s="4" t="str">
        <x:f>IF(D231="","",D231*Parametri!$B$6)</x:f>
      </x:c>
      <x:c r="H231" s="4" t="str">
        <x:f t="shared" si="6"/>
      </x:c>
      <x:c r="I231" s="3" t="s">
        <x:v>147</x:v>
      </x:c>
      <x:c r="J231" s="3"/>
      <x:c r="K231" s="3"/>
      <x:c r="L231"/>
    </x:row>
    <x:row r="232">
      <x:c r="A232" s="8"/>
      <x:c r="B232" s="3"/>
      <x:c r="C232" s="3" t="s">
        <x:v>146</x:v>
      </x:c>
      <x:c r="D232" s="5"/>
      <x:c r="E232" s="13"/>
      <x:c r="F232" s="4" t="str">
        <x:f t="shared" si="7"/>
      </x:c>
      <x:c r="G232" s="4" t="str">
        <x:f>IF(D232="","",D232*Parametri!$B$6)</x:f>
      </x:c>
      <x:c r="H232" s="4" t="str">
        <x:f t="shared" si="6"/>
      </x:c>
      <x:c r="I232" s="3" t="s">
        <x:v>147</x:v>
      </x:c>
      <x:c r="J232" s="3"/>
      <x:c r="K232" s="3"/>
      <x:c r="L232"/>
    </x:row>
    <x:row r="233">
      <x:c r="A233" s="8"/>
      <x:c r="B233" s="3"/>
      <x:c r="C233" s="3" t="s">
        <x:v>146</x:v>
      </x:c>
      <x:c r="D233" s="5"/>
      <x:c r="E233" s="13"/>
      <x:c r="F233" s="4" t="str">
        <x:f t="shared" si="7"/>
      </x:c>
      <x:c r="G233" s="4" t="str">
        <x:f>IF(D233="","",D233*Parametri!$B$6)</x:f>
      </x:c>
      <x:c r="H233" s="4" t="str">
        <x:f t="shared" si="6"/>
      </x:c>
      <x:c r="I233" s="3" t="s">
        <x:v>147</x:v>
      </x:c>
      <x:c r="J233" s="3"/>
      <x:c r="K233" s="3"/>
      <x:c r="L233"/>
    </x:row>
    <x:row r="234">
      <x:c r="A234" s="8"/>
      <x:c r="B234" s="3"/>
      <x:c r="C234" s="3" t="s">
        <x:v>146</x:v>
      </x:c>
      <x:c r="D234" s="5"/>
      <x:c r="E234" s="13"/>
      <x:c r="F234" s="4" t="str">
        <x:f t="shared" si="7"/>
      </x:c>
      <x:c r="G234" s="4" t="str">
        <x:f>IF(D234="","",D234*Parametri!$B$6)</x:f>
      </x:c>
      <x:c r="H234" s="4" t="str">
        <x:f t="shared" si="6"/>
      </x:c>
      <x:c r="I234" s="3" t="s">
        <x:v>147</x:v>
      </x:c>
      <x:c r="J234" s="3"/>
      <x:c r="K234" s="3"/>
      <x:c r="L234"/>
    </x:row>
    <x:row r="235">
      <x:c r="A235" s="8"/>
      <x:c r="B235" s="3"/>
      <x:c r="C235" s="3" t="s">
        <x:v>146</x:v>
      </x:c>
      <x:c r="D235" s="5"/>
      <x:c r="E235" s="13"/>
      <x:c r="F235" s="4" t="str">
        <x:f t="shared" si="7"/>
      </x:c>
      <x:c r="G235" s="4" t="str">
        <x:f>IF(D235="","",D235*Parametri!$B$6)</x:f>
      </x:c>
      <x:c r="H235" s="4" t="str">
        <x:f t="shared" si="6"/>
      </x:c>
      <x:c r="I235" s="3" t="s">
        <x:v>147</x:v>
      </x:c>
      <x:c r="J235" s="3"/>
      <x:c r="K235" s="3"/>
      <x:c r="L235"/>
    </x:row>
    <x:row r="236">
      <x:c r="A236" s="8"/>
      <x:c r="B236" s="3"/>
      <x:c r="C236" s="3" t="s">
        <x:v>146</x:v>
      </x:c>
      <x:c r="D236" s="5"/>
      <x:c r="E236" s="13"/>
      <x:c r="F236" s="4" t="str">
        <x:f t="shared" si="7"/>
      </x:c>
      <x:c r="G236" s="4" t="str">
        <x:f>IF(D236="","",D236*Parametri!$B$6)</x:f>
      </x:c>
      <x:c r="H236" s="4" t="str">
        <x:f t="shared" si="6"/>
      </x:c>
      <x:c r="I236" s="3" t="s">
        <x:v>147</x:v>
      </x:c>
      <x:c r="J236" s="3"/>
      <x:c r="K236" s="3"/>
      <x:c r="L236"/>
    </x:row>
    <x:row r="237">
      <x:c r="A237" s="8"/>
      <x:c r="B237" s="3"/>
      <x:c r="C237" s="3" t="s">
        <x:v>146</x:v>
      </x:c>
      <x:c r="D237" s="5"/>
      <x:c r="E237" s="13"/>
      <x:c r="F237" s="4" t="str">
        <x:f t="shared" si="7"/>
      </x:c>
      <x:c r="G237" s="4" t="str">
        <x:f>IF(D237="","",D237*Parametri!$B$6)</x:f>
      </x:c>
      <x:c r="H237" s="4" t="str">
        <x:f t="shared" si="6"/>
      </x:c>
      <x:c r="I237" s="3" t="s">
        <x:v>147</x:v>
      </x:c>
      <x:c r="J237" s="3"/>
      <x:c r="K237" s="3"/>
      <x:c r="L237"/>
    </x:row>
    <x:row r="238">
      <x:c r="A238" s="8"/>
      <x:c r="B238" s="3"/>
      <x:c r="C238" s="3" t="s">
        <x:v>146</x:v>
      </x:c>
      <x:c r="D238" s="5"/>
      <x:c r="E238" s="13"/>
      <x:c r="F238" s="4" t="str">
        <x:f t="shared" si="7"/>
      </x:c>
      <x:c r="G238" s="4" t="str">
        <x:f>IF(D238="","",D238*Parametri!$B$6)</x:f>
      </x:c>
      <x:c r="H238" s="4" t="str">
        <x:f t="shared" si="6"/>
      </x:c>
      <x:c r="I238" s="3" t="s">
        <x:v>147</x:v>
      </x:c>
      <x:c r="J238" s="3"/>
      <x:c r="K238" s="3"/>
      <x:c r="L238"/>
    </x:row>
    <x:row r="239">
      <x:c r="A239" s="8"/>
      <x:c r="B239" s="3"/>
      <x:c r="C239" s="3" t="s">
        <x:v>146</x:v>
      </x:c>
      <x:c r="D239" s="5"/>
      <x:c r="E239" s="13"/>
      <x:c r="F239" s="4" t="str">
        <x:f t="shared" si="7"/>
      </x:c>
      <x:c r="G239" s="4" t="str">
        <x:f>IF(D239="","",D239*Parametri!$B$6)</x:f>
      </x:c>
      <x:c r="H239" s="4" t="str">
        <x:f t="shared" si="6"/>
      </x:c>
      <x:c r="I239" s="3" t="s">
        <x:v>147</x:v>
      </x:c>
      <x:c r="J239" s="3"/>
      <x:c r="K239" s="3"/>
      <x:c r="L239"/>
    </x:row>
    <x:row r="240">
      <x:c r="A240" s="8"/>
      <x:c r="B240" s="3"/>
      <x:c r="C240" s="3" t="s">
        <x:v>146</x:v>
      </x:c>
      <x:c r="D240" s="5"/>
      <x:c r="E240" s="13"/>
      <x:c r="F240" s="4" t="str">
        <x:f t="shared" si="7"/>
      </x:c>
      <x:c r="G240" s="4" t="str">
        <x:f>IF(D240="","",D240*Parametri!$B$6)</x:f>
      </x:c>
      <x:c r="H240" s="4" t="str">
        <x:f t="shared" si="6"/>
      </x:c>
      <x:c r="I240" s="3" t="s">
        <x:v>147</x:v>
      </x:c>
      <x:c r="J240" s="3"/>
      <x:c r="K240" s="3"/>
      <x:c r="L240"/>
    </x:row>
    <x:row r="241">
      <x:c r="A241" s="8"/>
      <x:c r="B241" s="3"/>
      <x:c r="C241" s="3" t="s">
        <x:v>146</x:v>
      </x:c>
      <x:c r="D241" s="5"/>
      <x:c r="E241" s="13"/>
      <x:c r="F241" s="4" t="str">
        <x:f t="shared" si="7"/>
      </x:c>
      <x:c r="G241" s="4" t="str">
        <x:f>IF(D241="","",D241*Parametri!$B$6)</x:f>
      </x:c>
      <x:c r="H241" s="4" t="str">
        <x:f t="shared" si="6"/>
      </x:c>
      <x:c r="I241" s="3" t="s">
        <x:v>147</x:v>
      </x:c>
      <x:c r="J241" s="3"/>
      <x:c r="K241" s="3"/>
      <x:c r="L241"/>
    </x:row>
    <x:row r="242">
      <x:c r="A242" s="8"/>
      <x:c r="B242" s="3"/>
      <x:c r="C242" s="3" t="s">
        <x:v>146</x:v>
      </x:c>
      <x:c r="D242" s="5"/>
      <x:c r="E242" s="13"/>
      <x:c r="F242" s="4" t="str">
        <x:f t="shared" si="7"/>
      </x:c>
      <x:c r="G242" s="4" t="str">
        <x:f>IF(D242="","",D242*Parametri!$B$6)</x:f>
      </x:c>
      <x:c r="H242" s="4" t="str">
        <x:f t="shared" si="6"/>
      </x:c>
      <x:c r="I242" s="3" t="s">
        <x:v>147</x:v>
      </x:c>
      <x:c r="J242" s="3"/>
      <x:c r="K242" s="3"/>
      <x:c r="L242"/>
    </x:row>
    <x:row r="243">
      <x:c r="A243" s="8"/>
      <x:c r="B243" s="3"/>
      <x:c r="C243" s="3" t="s">
        <x:v>146</x:v>
      </x:c>
      <x:c r="D243" s="5"/>
      <x:c r="E243" s="13"/>
      <x:c r="F243" s="4" t="str">
        <x:f t="shared" si="7"/>
      </x:c>
      <x:c r="G243" s="4" t="str">
        <x:f>IF(D243="","",D243*Parametri!$B$6)</x:f>
      </x:c>
      <x:c r="H243" s="4" t="str">
        <x:f t="shared" si="6"/>
      </x:c>
      <x:c r="I243" s="3" t="s">
        <x:v>147</x:v>
      </x:c>
      <x:c r="J243" s="3"/>
      <x:c r="K243" s="3"/>
      <x:c r="L243"/>
    </x:row>
    <x:row r="244">
      <x:c r="A244" s="8"/>
      <x:c r="B244" s="3"/>
      <x:c r="C244" s="3" t="s">
        <x:v>146</x:v>
      </x:c>
      <x:c r="D244" s="5"/>
      <x:c r="E244" s="13"/>
      <x:c r="F244" s="4" t="str">
        <x:f t="shared" si="7"/>
      </x:c>
      <x:c r="G244" s="4" t="str">
        <x:f>IF(D244="","",D244*Parametri!$B$6)</x:f>
      </x:c>
      <x:c r="H244" s="4" t="str">
        <x:f t="shared" si="6"/>
      </x:c>
      <x:c r="I244" s="3" t="s">
        <x:v>147</x:v>
      </x:c>
      <x:c r="J244" s="3"/>
      <x:c r="K244" s="3"/>
      <x:c r="L244"/>
    </x:row>
    <x:row r="245">
      <x:c r="A245" s="8"/>
      <x:c r="B245" s="3"/>
      <x:c r="C245" s="3" t="s">
        <x:v>146</x:v>
      </x:c>
      <x:c r="D245" s="5"/>
      <x:c r="E245" s="13"/>
      <x:c r="F245" s="4" t="str">
        <x:f t="shared" si="7"/>
      </x:c>
      <x:c r="G245" s="4" t="str">
        <x:f>IF(D245="","",D245*Parametri!$B$6)</x:f>
      </x:c>
      <x:c r="H245" s="4" t="str">
        <x:f t="shared" si="6"/>
      </x:c>
      <x:c r="I245" s="3" t="s">
        <x:v>147</x:v>
      </x:c>
      <x:c r="J245" s="3"/>
      <x:c r="K245" s="3"/>
      <x:c r="L245"/>
    </x:row>
    <x:row r="246">
      <x:c r="A246" s="8"/>
      <x:c r="B246" s="3"/>
      <x:c r="C246" s="3" t="s">
        <x:v>146</x:v>
      </x:c>
      <x:c r="D246" s="5"/>
      <x:c r="E246" s="13"/>
      <x:c r="F246" s="4" t="str">
        <x:f t="shared" si="7"/>
      </x:c>
      <x:c r="G246" s="4" t="str">
        <x:f>IF(D246="","",D246*Parametri!$B$6)</x:f>
      </x:c>
      <x:c r="H246" s="4" t="str">
        <x:f t="shared" si="6"/>
      </x:c>
      <x:c r="I246" s="3" t="s">
        <x:v>147</x:v>
      </x:c>
      <x:c r="J246" s="3"/>
      <x:c r="K246" s="3"/>
      <x:c r="L246"/>
    </x:row>
    <x:row r="247">
      <x:c r="A247" s="8"/>
      <x:c r="B247" s="3"/>
      <x:c r="C247" s="3" t="s">
        <x:v>146</x:v>
      </x:c>
      <x:c r="D247" s="5"/>
      <x:c r="E247" s="13"/>
      <x:c r="F247" s="4" t="str">
        <x:f t="shared" si="7"/>
      </x:c>
      <x:c r="G247" s="4" t="str">
        <x:f>IF(D247="","",D247*Parametri!$B$6)</x:f>
      </x:c>
      <x:c r="H247" s="4" t="str">
        <x:f t="shared" si="6"/>
      </x:c>
      <x:c r="I247" s="3" t="s">
        <x:v>147</x:v>
      </x:c>
      <x:c r="J247" s="3"/>
      <x:c r="K247" s="3"/>
      <x:c r="L247"/>
    </x:row>
    <x:row r="248">
      <x:c r="A248" s="8"/>
      <x:c r="B248" s="3"/>
      <x:c r="C248" s="3" t="s">
        <x:v>146</x:v>
      </x:c>
      <x:c r="D248" s="5"/>
      <x:c r="E248" s="13"/>
      <x:c r="F248" s="4" t="str">
        <x:f t="shared" si="7"/>
      </x:c>
      <x:c r="G248" s="4" t="str">
        <x:f>IF(D248="","",D248*Parametri!$B$6)</x:f>
      </x:c>
      <x:c r="H248" s="4" t="str">
        <x:f t="shared" si="6"/>
      </x:c>
      <x:c r="I248" s="3" t="s">
        <x:v>147</x:v>
      </x:c>
      <x:c r="J248" s="3"/>
      <x:c r="K248" s="3"/>
      <x:c r="L248"/>
    </x:row>
    <x:row r="249">
      <x:c r="A249" s="8"/>
      <x:c r="B249" s="3"/>
      <x:c r="C249" s="3" t="s">
        <x:v>146</x:v>
      </x:c>
      <x:c r="D249" s="5"/>
      <x:c r="E249" s="13"/>
      <x:c r="F249" s="4" t="str">
        <x:f t="shared" si="7"/>
      </x:c>
      <x:c r="G249" s="4" t="str">
        <x:f>IF(D249="","",D249*Parametri!$B$6)</x:f>
      </x:c>
      <x:c r="H249" s="4" t="str">
        <x:f t="shared" si="6"/>
      </x:c>
      <x:c r="I249" s="3" t="s">
        <x:v>147</x:v>
      </x:c>
      <x:c r="J249" s="3"/>
      <x:c r="K249" s="3"/>
      <x:c r="L249"/>
    </x:row>
    <x:row r="250">
      <x:c r="A250" s="8"/>
      <x:c r="B250" s="3"/>
      <x:c r="C250" s="3" t="s">
        <x:v>146</x:v>
      </x:c>
      <x:c r="D250" s="5"/>
      <x:c r="E250" s="13"/>
      <x:c r="F250" s="4" t="str">
        <x:f t="shared" si="7"/>
      </x:c>
      <x:c r="G250" s="4" t="str">
        <x:f>IF(D250="","",D250*Parametri!$B$6)</x:f>
      </x:c>
      <x:c r="H250" s="4" t="str">
        <x:f t="shared" si="6"/>
      </x:c>
      <x:c r="I250" s="3" t="s">
        <x:v>147</x:v>
      </x:c>
      <x:c r="J250" s="3"/>
      <x:c r="K250" s="3"/>
      <x:c r="L250"/>
    </x:row>
    <x:row r="251">
      <x:c r="A251" s="8"/>
      <x:c r="B251" s="3"/>
      <x:c r="C251" s="3" t="s">
        <x:v>146</x:v>
      </x:c>
      <x:c r="D251" s="5"/>
      <x:c r="E251" s="13"/>
      <x:c r="F251" s="4" t="str">
        <x:f t="shared" si="7"/>
      </x:c>
      <x:c r="G251" s="4" t="str">
        <x:f>IF(D251="","",D251*Parametri!$B$6)</x:f>
      </x:c>
      <x:c r="H251" s="4" t="str">
        <x:f t="shared" si="6"/>
      </x:c>
      <x:c r="I251" s="3" t="s">
        <x:v>147</x:v>
      </x:c>
      <x:c r="J251" s="3"/>
      <x:c r="K251" s="3"/>
      <x:c r="L251"/>
    </x:row>
    <x:row r="252">
      <x:c r="A252" s="8"/>
      <x:c r="B252" s="3"/>
      <x:c r="C252" s="3" t="s">
        <x:v>146</x:v>
      </x:c>
      <x:c r="D252" s="5"/>
      <x:c r="E252" s="13"/>
      <x:c r="F252" s="4" t="str">
        <x:f t="shared" si="7"/>
      </x:c>
      <x:c r="G252" s="4" t="str">
        <x:f>IF(D252="","",D252*Parametri!$B$6)</x:f>
      </x:c>
      <x:c r="H252" s="4" t="str">
        <x:f t="shared" si="6"/>
      </x:c>
      <x:c r="I252" s="3" t="s">
        <x:v>147</x:v>
      </x:c>
      <x:c r="J252" s="3"/>
      <x:c r="K252" s="3"/>
      <x:c r="L252"/>
    </x:row>
    <x:row r="253">
      <x:c r="A253" s="8"/>
      <x:c r="B253" s="3"/>
      <x:c r="C253" s="3" t="s">
        <x:v>146</x:v>
      </x:c>
      <x:c r="D253" s="5"/>
      <x:c r="E253" s="13"/>
      <x:c r="F253" s="4" t="str">
        <x:f t="shared" si="7"/>
      </x:c>
      <x:c r="G253" s="4" t="str">
        <x:f>IF(D253="","",D253*Parametri!$B$6)</x:f>
      </x:c>
      <x:c r="H253" s="4" t="str">
        <x:f t="shared" si="6"/>
      </x:c>
      <x:c r="I253" s="3" t="s">
        <x:v>147</x:v>
      </x:c>
      <x:c r="J253" s="3"/>
      <x:c r="K253" s="3"/>
      <x:c r="L253"/>
    </x:row>
    <x:row r="254">
      <x:c r="A254" s="8"/>
      <x:c r="B254" s="3"/>
      <x:c r="C254" s="3" t="s">
        <x:v>146</x:v>
      </x:c>
      <x:c r="D254" s="5"/>
      <x:c r="E254" s="13"/>
      <x:c r="F254" s="4" t="str">
        <x:f t="shared" si="7"/>
      </x:c>
      <x:c r="G254" s="4" t="str">
        <x:f>IF(D254="","",D254*Parametri!$B$6)</x:f>
      </x:c>
      <x:c r="H254" s="4" t="str">
        <x:f t="shared" si="6"/>
      </x:c>
      <x:c r="I254" s="3" t="s">
        <x:v>147</x:v>
      </x:c>
      <x:c r="J254" s="3"/>
      <x:c r="K254" s="3"/>
      <x:c r="L254"/>
    </x:row>
    <x:row r="255">
      <x:c r="A255" s="8"/>
      <x:c r="B255" s="3"/>
      <x:c r="C255" s="3" t="s">
        <x:v>146</x:v>
      </x:c>
      <x:c r="D255" s="5"/>
      <x:c r="E255" s="13"/>
      <x:c r="F255" s="4" t="str">
        <x:f t="shared" si="7"/>
      </x:c>
      <x:c r="G255" s="4" t="str">
        <x:f>IF(D255="","",D255*Parametri!$B$6)</x:f>
      </x:c>
      <x:c r="H255" s="4" t="str">
        <x:f t="shared" si="6"/>
      </x:c>
      <x:c r="I255" s="3" t="s">
        <x:v>147</x:v>
      </x:c>
      <x:c r="J255" s="3"/>
      <x:c r="K255" s="3"/>
      <x:c r="L255"/>
    </x:row>
    <x:row r="256">
      <x:c r="A256" s="8"/>
      <x:c r="B256" s="3"/>
      <x:c r="C256" s="3" t="s">
        <x:v>146</x:v>
      </x:c>
      <x:c r="D256" s="5"/>
      <x:c r="E256" s="13"/>
      <x:c r="F256" s="4" t="str">
        <x:f t="shared" si="7"/>
      </x:c>
      <x:c r="G256" s="4" t="str">
        <x:f>IF(D256="","",D256*Parametri!$B$6)</x:f>
      </x:c>
      <x:c r="H256" s="4" t="str">
        <x:f t="shared" si="6"/>
      </x:c>
      <x:c r="I256" s="3" t="s">
        <x:v>147</x:v>
      </x:c>
      <x:c r="J256" s="3"/>
      <x:c r="K256" s="3"/>
      <x:c r="L256"/>
    </x:row>
    <x:row r="257">
      <x:c r="A257" s="8"/>
      <x:c r="B257" s="3"/>
      <x:c r="C257" s="3" t="s">
        <x:v>146</x:v>
      </x:c>
      <x:c r="D257" s="5"/>
      <x:c r="E257" s="13"/>
      <x:c r="F257" s="4" t="str">
        <x:f t="shared" si="7"/>
      </x:c>
      <x:c r="G257" s="4" t="str">
        <x:f>IF(D257="","",D257*Parametri!$B$6)</x:f>
      </x:c>
      <x:c r="H257" s="4" t="str">
        <x:f t="shared" si="6"/>
      </x:c>
      <x:c r="I257" s="3" t="s">
        <x:v>147</x:v>
      </x:c>
      <x:c r="J257" s="3"/>
      <x:c r="K257" s="3"/>
      <x:c r="L257"/>
    </x:row>
    <x:row r="258">
      <x:c r="A258" s="8"/>
      <x:c r="B258" s="3"/>
      <x:c r="C258" s="3" t="s">
        <x:v>146</x:v>
      </x:c>
      <x:c r="D258" s="5"/>
      <x:c r="E258" s="13"/>
      <x:c r="F258" s="4" t="str">
        <x:f t="shared" si="7"/>
      </x:c>
      <x:c r="G258" s="4" t="str">
        <x:f>IF(D258="","",D258*Parametri!$B$6)</x:f>
      </x:c>
      <x:c r="H258" s="4" t="str">
        <x:f t="shared" si="6"/>
      </x:c>
      <x:c r="I258" s="3" t="s">
        <x:v>147</x:v>
      </x:c>
      <x:c r="J258" s="3"/>
      <x:c r="K258" s="3"/>
      <x:c r="L258"/>
    </x:row>
    <x:row r="259">
      <x:c r="A259" s="8"/>
      <x:c r="B259" s="3"/>
      <x:c r="C259" s="3" t="s">
        <x:v>146</x:v>
      </x:c>
      <x:c r="D259" s="5"/>
      <x:c r="E259" s="13"/>
      <x:c r="F259" s="4" t="str">
        <x:f t="shared" si="7"/>
      </x:c>
      <x:c r="G259" s="4" t="str">
        <x:f>IF(D259="","",D259*Parametri!$B$6)</x:f>
      </x:c>
      <x:c r="H259" s="4" t="str">
        <x:f t="shared" si="6"/>
      </x:c>
      <x:c r="I259" s="3" t="s">
        <x:v>147</x:v>
      </x:c>
      <x:c r="J259" s="3"/>
      <x:c r="K259" s="3"/>
      <x:c r="L259"/>
    </x:row>
    <x:row r="260">
      <x:c r="A260" s="8"/>
      <x:c r="B260" s="3"/>
      <x:c r="C260" s="3" t="s">
        <x:v>146</x:v>
      </x:c>
      <x:c r="D260" s="5"/>
      <x:c r="E260" s="13"/>
      <x:c r="F260" s="4" t="str">
        <x:f t="shared" si="7"/>
      </x:c>
      <x:c r="G260" s="4" t="str">
        <x:f>IF(D260="","",D260*Parametri!$B$6)</x:f>
      </x:c>
      <x:c r="H260" s="4" t="str">
        <x:f t="shared" ref="H260:H303" si="8">IF(F260="","",F260-G260)</x:f>
      </x:c>
      <x:c r="I260" s="3" t="s">
        <x:v>147</x:v>
      </x:c>
      <x:c r="J260" s="3"/>
      <x:c r="K260" s="3"/>
      <x:c r="L260"/>
    </x:row>
    <x:row r="261">
      <x:c r="A261" s="8"/>
      <x:c r="B261" s="3"/>
      <x:c r="C261" s="3" t="s">
        <x:v>146</x:v>
      </x:c>
      <x:c r="D261" s="5"/>
      <x:c r="E261" s="13"/>
      <x:c r="F261" s="4" t="str">
        <x:f t="shared" si="7"/>
      </x:c>
      <x:c r="G261" s="4" t="str">
        <x:f>IF(D261="","",D261*Parametri!$B$6)</x:f>
      </x:c>
      <x:c r="H261" s="4" t="str">
        <x:f t="shared" si="8"/>
      </x:c>
      <x:c r="I261" s="3" t="s">
        <x:v>147</x:v>
      </x:c>
      <x:c r="J261" s="3"/>
      <x:c r="K261" s="3"/>
      <x:c r="L261"/>
    </x:row>
    <x:row r="262">
      <x:c r="A262" s="8"/>
      <x:c r="B262" s="3"/>
      <x:c r="C262" s="3" t="s">
        <x:v>146</x:v>
      </x:c>
      <x:c r="D262" s="5"/>
      <x:c r="E262" s="13"/>
      <x:c r="F262" s="4" t="str">
        <x:f t="shared" si="7"/>
      </x:c>
      <x:c r="G262" s="4" t="str">
        <x:f>IF(D262="","",D262*Parametri!$B$6)</x:f>
      </x:c>
      <x:c r="H262" s="4" t="str">
        <x:f t="shared" si="8"/>
      </x:c>
      <x:c r="I262" s="3" t="s">
        <x:v>147</x:v>
      </x:c>
      <x:c r="J262" s="3"/>
      <x:c r="K262" s="3"/>
      <x:c r="L262"/>
    </x:row>
    <x:row r="263">
      <x:c r="A263" s="8"/>
      <x:c r="B263" s="3"/>
      <x:c r="C263" s="3" t="s">
        <x:v>146</x:v>
      </x:c>
      <x:c r="D263" s="5"/>
      <x:c r="E263" s="13"/>
      <x:c r="F263" s="4" t="str">
        <x:f t="shared" si="7"/>
      </x:c>
      <x:c r="G263" s="4" t="str">
        <x:f>IF(D263="","",D263*Parametri!$B$6)</x:f>
      </x:c>
      <x:c r="H263" s="4" t="str">
        <x:f t="shared" si="8"/>
      </x:c>
      <x:c r="I263" s="3" t="s">
        <x:v>147</x:v>
      </x:c>
      <x:c r="J263" s="3"/>
      <x:c r="K263" s="3"/>
      <x:c r="L263"/>
    </x:row>
    <x:row r="264">
      <x:c r="A264" s="8"/>
      <x:c r="B264" s="3"/>
      <x:c r="C264" s="3" t="s">
        <x:v>146</x:v>
      </x:c>
      <x:c r="D264" s="5"/>
      <x:c r="E264" s="13"/>
      <x:c r="F264" s="4" t="str">
        <x:f t="shared" si="7"/>
      </x:c>
      <x:c r="G264" s="4" t="str">
        <x:f>IF(D264="","",D264*Parametri!$B$6)</x:f>
      </x:c>
      <x:c r="H264" s="4" t="str">
        <x:f t="shared" si="8"/>
      </x:c>
      <x:c r="I264" s="3" t="s">
        <x:v>147</x:v>
      </x:c>
      <x:c r="J264" s="3"/>
      <x:c r="K264" s="3"/>
      <x:c r="L264"/>
    </x:row>
    <x:row r="265">
      <x:c r="A265" s="8"/>
      <x:c r="B265" s="3"/>
      <x:c r="C265" s="3" t="s">
        <x:v>146</x:v>
      </x:c>
      <x:c r="D265" s="5"/>
      <x:c r="E265" s="13"/>
      <x:c r="F265" s="4" t="str">
        <x:f t="shared" si="7"/>
      </x:c>
      <x:c r="G265" s="4" t="str">
        <x:f>IF(D265="","",D265*Parametri!$B$6)</x:f>
      </x:c>
      <x:c r="H265" s="4" t="str">
        <x:f t="shared" si="8"/>
      </x:c>
      <x:c r="I265" s="3" t="s">
        <x:v>147</x:v>
      </x:c>
      <x:c r="J265" s="3"/>
      <x:c r="K265" s="3"/>
      <x:c r="L265"/>
    </x:row>
    <x:row r="266">
      <x:c r="A266" s="8"/>
      <x:c r="B266" s="3"/>
      <x:c r="C266" s="3" t="s">
        <x:v>146</x:v>
      </x:c>
      <x:c r="D266" s="5"/>
      <x:c r="E266" s="13"/>
      <x:c r="F266" s="4" t="str">
        <x:f t="shared" si="7"/>
      </x:c>
      <x:c r="G266" s="4" t="str">
        <x:f>IF(D266="","",D266*Parametri!$B$6)</x:f>
      </x:c>
      <x:c r="H266" s="4" t="str">
        <x:f t="shared" si="8"/>
      </x:c>
      <x:c r="I266" s="3" t="s">
        <x:v>147</x:v>
      </x:c>
      <x:c r="J266" s="3"/>
      <x:c r="K266" s="3"/>
      <x:c r="L266"/>
    </x:row>
    <x:row r="267">
      <x:c r="A267" s="8"/>
      <x:c r="B267" s="3"/>
      <x:c r="C267" s="3" t="s">
        <x:v>146</x:v>
      </x:c>
      <x:c r="D267" s="5"/>
      <x:c r="E267" s="13"/>
      <x:c r="F267" s="4" t="str">
        <x:f t="shared" ref="F267:F303" si="9">IF(OR(D267="",E267=""),"",D267*E267)</x:f>
      </x:c>
      <x:c r="G267" s="4" t="str">
        <x:f>IF(D267="","",D267*Parametri!$B$6)</x:f>
      </x:c>
      <x:c r="H267" s="4" t="str">
        <x:f t="shared" si="8"/>
      </x:c>
      <x:c r="I267" s="3" t="s">
        <x:v>147</x:v>
      </x:c>
      <x:c r="J267" s="3"/>
      <x:c r="K267" s="3"/>
      <x:c r="L267"/>
    </x:row>
    <x:row r="268">
      <x:c r="A268" s="8"/>
      <x:c r="B268" s="3"/>
      <x:c r="C268" s="3" t="s">
        <x:v>146</x:v>
      </x:c>
      <x:c r="D268" s="5"/>
      <x:c r="E268" s="13"/>
      <x:c r="F268" s="4" t="str">
        <x:f t="shared" si="9"/>
      </x:c>
      <x:c r="G268" s="4" t="str">
        <x:f>IF(D268="","",D268*Parametri!$B$6)</x:f>
      </x:c>
      <x:c r="H268" s="4" t="str">
        <x:f t="shared" si="8"/>
      </x:c>
      <x:c r="I268" s="3" t="s">
        <x:v>147</x:v>
      </x:c>
      <x:c r="J268" s="3"/>
      <x:c r="K268" s="3"/>
      <x:c r="L268"/>
    </x:row>
    <x:row r="269">
      <x:c r="A269" s="8"/>
      <x:c r="B269" s="3"/>
      <x:c r="C269" s="3" t="s">
        <x:v>146</x:v>
      </x:c>
      <x:c r="D269" s="5"/>
      <x:c r="E269" s="13"/>
      <x:c r="F269" s="4" t="str">
        <x:f t="shared" si="9"/>
      </x:c>
      <x:c r="G269" s="4" t="str">
        <x:f>IF(D269="","",D269*Parametri!$B$6)</x:f>
      </x:c>
      <x:c r="H269" s="4" t="str">
        <x:f t="shared" si="8"/>
      </x:c>
      <x:c r="I269" s="3" t="s">
        <x:v>147</x:v>
      </x:c>
      <x:c r="J269" s="3"/>
      <x:c r="K269" s="3"/>
      <x:c r="L269"/>
    </x:row>
    <x:row r="270">
      <x:c r="A270" s="8"/>
      <x:c r="B270" s="3"/>
      <x:c r="C270" s="3" t="s">
        <x:v>146</x:v>
      </x:c>
      <x:c r="D270" s="5"/>
      <x:c r="E270" s="13"/>
      <x:c r="F270" s="4" t="str">
        <x:f t="shared" si="9"/>
      </x:c>
      <x:c r="G270" s="4" t="str">
        <x:f>IF(D270="","",D270*Parametri!$B$6)</x:f>
      </x:c>
      <x:c r="H270" s="4" t="str">
        <x:f t="shared" si="8"/>
      </x:c>
      <x:c r="I270" s="3" t="s">
        <x:v>147</x:v>
      </x:c>
      <x:c r="J270" s="3"/>
      <x:c r="K270" s="3"/>
      <x:c r="L270"/>
    </x:row>
    <x:row r="271">
      <x:c r="A271" s="8"/>
      <x:c r="B271" s="3"/>
      <x:c r="C271" s="3" t="s">
        <x:v>146</x:v>
      </x:c>
      <x:c r="D271" s="5"/>
      <x:c r="E271" s="13"/>
      <x:c r="F271" s="4" t="str">
        <x:f t="shared" si="9"/>
      </x:c>
      <x:c r="G271" s="4" t="str">
        <x:f>IF(D271="","",D271*Parametri!$B$6)</x:f>
      </x:c>
      <x:c r="H271" s="4" t="str">
        <x:f t="shared" si="8"/>
      </x:c>
      <x:c r="I271" s="3" t="s">
        <x:v>147</x:v>
      </x:c>
      <x:c r="J271" s="3"/>
      <x:c r="K271" s="3"/>
      <x:c r="L271"/>
    </x:row>
    <x:row r="272">
      <x:c r="A272" s="8"/>
      <x:c r="B272" s="3"/>
      <x:c r="C272" s="3" t="s">
        <x:v>146</x:v>
      </x:c>
      <x:c r="D272" s="5"/>
      <x:c r="E272" s="13"/>
      <x:c r="F272" s="4" t="str">
        <x:f t="shared" si="9"/>
      </x:c>
      <x:c r="G272" s="4" t="str">
        <x:f>IF(D272="","",D272*Parametri!$B$6)</x:f>
      </x:c>
      <x:c r="H272" s="4" t="str">
        <x:f t="shared" si="8"/>
      </x:c>
      <x:c r="I272" s="3" t="s">
        <x:v>147</x:v>
      </x:c>
      <x:c r="J272" s="3"/>
      <x:c r="K272" s="3"/>
      <x:c r="L272"/>
    </x:row>
    <x:row r="273">
      <x:c r="A273" s="8"/>
      <x:c r="B273" s="3"/>
      <x:c r="C273" s="3" t="s">
        <x:v>146</x:v>
      </x:c>
      <x:c r="D273" s="5"/>
      <x:c r="E273" s="13"/>
      <x:c r="F273" s="4" t="str">
        <x:f t="shared" si="9"/>
      </x:c>
      <x:c r="G273" s="4" t="str">
        <x:f>IF(D273="","",D273*Parametri!$B$6)</x:f>
      </x:c>
      <x:c r="H273" s="4" t="str">
        <x:f t="shared" si="8"/>
      </x:c>
      <x:c r="I273" s="3" t="s">
        <x:v>147</x:v>
      </x:c>
      <x:c r="J273" s="3"/>
      <x:c r="K273" s="3"/>
      <x:c r="L273"/>
    </x:row>
    <x:row r="274">
      <x:c r="A274" s="8"/>
      <x:c r="B274" s="3"/>
      <x:c r="C274" s="3" t="s">
        <x:v>146</x:v>
      </x:c>
      <x:c r="D274" s="5"/>
      <x:c r="E274" s="13"/>
      <x:c r="F274" s="4" t="str">
        <x:f t="shared" si="9"/>
      </x:c>
      <x:c r="G274" s="4" t="str">
        <x:f>IF(D274="","",D274*Parametri!$B$6)</x:f>
      </x:c>
      <x:c r="H274" s="4" t="str">
        <x:f t="shared" si="8"/>
      </x:c>
      <x:c r="I274" s="3" t="s">
        <x:v>147</x:v>
      </x:c>
      <x:c r="J274" s="3"/>
      <x:c r="K274" s="3"/>
      <x:c r="L274"/>
    </x:row>
    <x:row r="275">
      <x:c r="A275" s="8"/>
      <x:c r="B275" s="3"/>
      <x:c r="C275" s="3" t="s">
        <x:v>146</x:v>
      </x:c>
      <x:c r="D275" s="5"/>
      <x:c r="E275" s="13"/>
      <x:c r="F275" s="4" t="str">
        <x:f t="shared" si="9"/>
      </x:c>
      <x:c r="G275" s="4" t="str">
        <x:f>IF(D275="","",D275*Parametri!$B$6)</x:f>
      </x:c>
      <x:c r="H275" s="4" t="str">
        <x:f t="shared" si="8"/>
      </x:c>
      <x:c r="I275" s="3" t="s">
        <x:v>147</x:v>
      </x:c>
      <x:c r="J275" s="3"/>
      <x:c r="K275" s="3"/>
      <x:c r="L275"/>
    </x:row>
    <x:row r="276">
      <x:c r="A276" s="8"/>
      <x:c r="B276" s="3"/>
      <x:c r="C276" s="3" t="s">
        <x:v>146</x:v>
      </x:c>
      <x:c r="D276" s="5"/>
      <x:c r="E276" s="13"/>
      <x:c r="F276" s="4" t="str">
        <x:f t="shared" si="9"/>
      </x:c>
      <x:c r="G276" s="4" t="str">
        <x:f>IF(D276="","",D276*Parametri!$B$6)</x:f>
      </x:c>
      <x:c r="H276" s="4" t="str">
        <x:f t="shared" si="8"/>
      </x:c>
      <x:c r="I276" s="3" t="s">
        <x:v>147</x:v>
      </x:c>
      <x:c r="J276" s="3"/>
      <x:c r="K276" s="3"/>
      <x:c r="L276"/>
    </x:row>
    <x:row r="277">
      <x:c r="A277" s="8"/>
      <x:c r="B277" s="3"/>
      <x:c r="C277" s="3" t="s">
        <x:v>146</x:v>
      </x:c>
      <x:c r="D277" s="5"/>
      <x:c r="E277" s="13"/>
      <x:c r="F277" s="4" t="str">
        <x:f t="shared" si="9"/>
      </x:c>
      <x:c r="G277" s="4" t="str">
        <x:f>IF(D277="","",D277*Parametri!$B$6)</x:f>
      </x:c>
      <x:c r="H277" s="4" t="str">
        <x:f t="shared" si="8"/>
      </x:c>
      <x:c r="I277" s="3" t="s">
        <x:v>147</x:v>
      </x:c>
      <x:c r="J277" s="3"/>
      <x:c r="K277" s="3"/>
      <x:c r="L277"/>
    </x:row>
    <x:row r="278">
      <x:c r="A278" s="8"/>
      <x:c r="B278" s="3"/>
      <x:c r="C278" s="3" t="s">
        <x:v>146</x:v>
      </x:c>
      <x:c r="D278" s="5"/>
      <x:c r="E278" s="13"/>
      <x:c r="F278" s="4" t="str">
        <x:f t="shared" si="9"/>
      </x:c>
      <x:c r="G278" s="4" t="str">
        <x:f>IF(D278="","",D278*Parametri!$B$6)</x:f>
      </x:c>
      <x:c r="H278" s="4" t="str">
        <x:f t="shared" si="8"/>
      </x:c>
      <x:c r="I278" s="3" t="s">
        <x:v>147</x:v>
      </x:c>
      <x:c r="J278" s="3"/>
      <x:c r="K278" s="3"/>
      <x:c r="L278"/>
    </x:row>
    <x:row r="279">
      <x:c r="A279" s="8"/>
      <x:c r="B279" s="3"/>
      <x:c r="C279" s="3" t="s">
        <x:v>146</x:v>
      </x:c>
      <x:c r="D279" s="5"/>
      <x:c r="E279" s="13"/>
      <x:c r="F279" s="4" t="str">
        <x:f t="shared" si="9"/>
      </x:c>
      <x:c r="G279" s="4" t="str">
        <x:f>IF(D279="","",D279*Parametri!$B$6)</x:f>
      </x:c>
      <x:c r="H279" s="4" t="str">
        <x:f t="shared" si="8"/>
      </x:c>
      <x:c r="I279" s="3" t="s">
        <x:v>147</x:v>
      </x:c>
      <x:c r="J279" s="3"/>
      <x:c r="K279" s="3"/>
      <x:c r="L279"/>
    </x:row>
    <x:row r="280">
      <x:c r="A280" s="8"/>
      <x:c r="B280" s="3"/>
      <x:c r="C280" s="3" t="s">
        <x:v>146</x:v>
      </x:c>
      <x:c r="D280" s="5"/>
      <x:c r="E280" s="13"/>
      <x:c r="F280" s="4" t="str">
        <x:f t="shared" si="9"/>
      </x:c>
      <x:c r="G280" s="4" t="str">
        <x:f>IF(D280="","",D280*Parametri!$B$6)</x:f>
      </x:c>
      <x:c r="H280" s="4" t="str">
        <x:f t="shared" si="8"/>
      </x:c>
      <x:c r="I280" s="3" t="s">
        <x:v>147</x:v>
      </x:c>
      <x:c r="J280" s="3"/>
      <x:c r="K280" s="3"/>
      <x:c r="L280"/>
    </x:row>
    <x:row r="281">
      <x:c r="A281" s="8"/>
      <x:c r="B281" s="3"/>
      <x:c r="C281" s="3" t="s">
        <x:v>146</x:v>
      </x:c>
      <x:c r="D281" s="5"/>
      <x:c r="E281" s="13"/>
      <x:c r="F281" s="4" t="str">
        <x:f t="shared" si="9"/>
      </x:c>
      <x:c r="G281" s="4" t="str">
        <x:f>IF(D281="","",D281*Parametri!$B$6)</x:f>
      </x:c>
      <x:c r="H281" s="4" t="str">
        <x:f t="shared" si="8"/>
      </x:c>
      <x:c r="I281" s="3" t="s">
        <x:v>147</x:v>
      </x:c>
      <x:c r="J281" s="3"/>
      <x:c r="K281" s="3"/>
      <x:c r="L281"/>
    </x:row>
    <x:row r="282">
      <x:c r="A282" s="8"/>
      <x:c r="B282" s="3"/>
      <x:c r="C282" s="3" t="s">
        <x:v>146</x:v>
      </x:c>
      <x:c r="D282" s="5"/>
      <x:c r="E282" s="13"/>
      <x:c r="F282" s="4" t="str">
        <x:f t="shared" si="9"/>
      </x:c>
      <x:c r="G282" s="4" t="str">
        <x:f>IF(D282="","",D282*Parametri!$B$6)</x:f>
      </x:c>
      <x:c r="H282" s="4" t="str">
        <x:f t="shared" si="8"/>
      </x:c>
      <x:c r="I282" s="3" t="s">
        <x:v>147</x:v>
      </x:c>
      <x:c r="J282" s="3"/>
      <x:c r="K282" s="3"/>
      <x:c r="L282"/>
    </x:row>
    <x:row r="283">
      <x:c r="A283" s="8"/>
      <x:c r="B283" s="3"/>
      <x:c r="C283" s="3" t="s">
        <x:v>146</x:v>
      </x:c>
      <x:c r="D283" s="5"/>
      <x:c r="E283" s="13"/>
      <x:c r="F283" s="4" t="str">
        <x:f t="shared" si="9"/>
      </x:c>
      <x:c r="G283" s="4" t="str">
        <x:f>IF(D283="","",D283*Parametri!$B$6)</x:f>
      </x:c>
      <x:c r="H283" s="4" t="str">
        <x:f t="shared" si="8"/>
      </x:c>
      <x:c r="I283" s="3" t="s">
        <x:v>147</x:v>
      </x:c>
      <x:c r="J283" s="3"/>
      <x:c r="K283" s="3"/>
      <x:c r="L283"/>
    </x:row>
    <x:row r="284">
      <x:c r="A284" s="8"/>
      <x:c r="B284" s="3"/>
      <x:c r="C284" s="3" t="s">
        <x:v>146</x:v>
      </x:c>
      <x:c r="D284" s="5"/>
      <x:c r="E284" s="13"/>
      <x:c r="F284" s="4" t="str">
        <x:f t="shared" si="9"/>
      </x:c>
      <x:c r="G284" s="4" t="str">
        <x:f>IF(D284="","",D284*Parametri!$B$6)</x:f>
      </x:c>
      <x:c r="H284" s="4" t="str">
        <x:f t="shared" si="8"/>
      </x:c>
      <x:c r="I284" s="3" t="s">
        <x:v>147</x:v>
      </x:c>
      <x:c r="J284" s="3"/>
      <x:c r="K284" s="3"/>
      <x:c r="L284"/>
    </x:row>
    <x:row r="285">
      <x:c r="A285" s="8"/>
      <x:c r="B285" s="3"/>
      <x:c r="C285" s="3" t="s">
        <x:v>146</x:v>
      </x:c>
      <x:c r="D285" s="5"/>
      <x:c r="E285" s="13"/>
      <x:c r="F285" s="4" t="str">
        <x:f t="shared" si="9"/>
      </x:c>
      <x:c r="G285" s="4" t="str">
        <x:f>IF(D285="","",D285*Parametri!$B$6)</x:f>
      </x:c>
      <x:c r="H285" s="4" t="str">
        <x:f t="shared" si="8"/>
      </x:c>
      <x:c r="I285" s="3" t="s">
        <x:v>147</x:v>
      </x:c>
      <x:c r="J285" s="3"/>
      <x:c r="K285" s="3"/>
      <x:c r="L285"/>
    </x:row>
    <x:row r="286">
      <x:c r="A286" s="8"/>
      <x:c r="B286" s="3"/>
      <x:c r="C286" s="3" t="s">
        <x:v>146</x:v>
      </x:c>
      <x:c r="D286" s="5"/>
      <x:c r="E286" s="13"/>
      <x:c r="F286" s="4" t="str">
        <x:f t="shared" si="9"/>
      </x:c>
      <x:c r="G286" s="4" t="str">
        <x:f>IF(D286="","",D286*Parametri!$B$6)</x:f>
      </x:c>
      <x:c r="H286" s="4" t="str">
        <x:f t="shared" si="8"/>
      </x:c>
      <x:c r="I286" s="3" t="s">
        <x:v>147</x:v>
      </x:c>
      <x:c r="J286" s="3"/>
      <x:c r="K286" s="3"/>
      <x:c r="L286"/>
    </x:row>
    <x:row r="287">
      <x:c r="A287" s="8"/>
      <x:c r="B287" s="3"/>
      <x:c r="C287" s="3" t="s">
        <x:v>146</x:v>
      </x:c>
      <x:c r="D287" s="5"/>
      <x:c r="E287" s="13"/>
      <x:c r="F287" s="4" t="str">
        <x:f t="shared" si="9"/>
      </x:c>
      <x:c r="G287" s="4" t="str">
        <x:f>IF(D287="","",D287*Parametri!$B$6)</x:f>
      </x:c>
      <x:c r="H287" s="4" t="str">
        <x:f t="shared" si="8"/>
      </x:c>
      <x:c r="I287" s="3" t="s">
        <x:v>147</x:v>
      </x:c>
      <x:c r="J287" s="3"/>
      <x:c r="K287" s="3"/>
      <x:c r="L287"/>
    </x:row>
    <x:row r="288">
      <x:c r="A288" s="8"/>
      <x:c r="B288" s="3"/>
      <x:c r="C288" s="3" t="s">
        <x:v>146</x:v>
      </x:c>
      <x:c r="D288" s="5"/>
      <x:c r="E288" s="13"/>
      <x:c r="F288" s="4" t="str">
        <x:f t="shared" si="9"/>
      </x:c>
      <x:c r="G288" s="4" t="str">
        <x:f>IF(D288="","",D288*Parametri!$B$6)</x:f>
      </x:c>
      <x:c r="H288" s="4" t="str">
        <x:f t="shared" si="8"/>
      </x:c>
      <x:c r="I288" s="3" t="s">
        <x:v>147</x:v>
      </x:c>
      <x:c r="J288" s="3"/>
      <x:c r="K288" s="3"/>
      <x:c r="L288"/>
    </x:row>
    <x:row r="289">
      <x:c r="A289" s="8"/>
      <x:c r="B289" s="3"/>
      <x:c r="C289" s="3" t="s">
        <x:v>146</x:v>
      </x:c>
      <x:c r="D289" s="5"/>
      <x:c r="E289" s="13"/>
      <x:c r="F289" s="4" t="str">
        <x:f t="shared" si="9"/>
      </x:c>
      <x:c r="G289" s="4" t="str">
        <x:f>IF(D289="","",D289*Parametri!$B$6)</x:f>
      </x:c>
      <x:c r="H289" s="4" t="str">
        <x:f t="shared" si="8"/>
      </x:c>
      <x:c r="I289" s="3" t="s">
        <x:v>147</x:v>
      </x:c>
      <x:c r="J289" s="3"/>
      <x:c r="K289" s="3"/>
      <x:c r="L289"/>
    </x:row>
    <x:row r="290">
      <x:c r="A290" s="8"/>
      <x:c r="B290" s="3"/>
      <x:c r="C290" s="3" t="s">
        <x:v>146</x:v>
      </x:c>
      <x:c r="D290" s="5"/>
      <x:c r="E290" s="13"/>
      <x:c r="F290" s="4" t="str">
        <x:f t="shared" si="9"/>
      </x:c>
      <x:c r="G290" s="4" t="str">
        <x:f>IF(D290="","",D290*Parametri!$B$6)</x:f>
      </x:c>
      <x:c r="H290" s="4" t="str">
        <x:f t="shared" si="8"/>
      </x:c>
      <x:c r="I290" s="3" t="s">
        <x:v>147</x:v>
      </x:c>
      <x:c r="J290" s="3"/>
      <x:c r="K290" s="3"/>
      <x:c r="L290"/>
    </x:row>
    <x:row r="291">
      <x:c r="A291" s="8"/>
      <x:c r="B291" s="3"/>
      <x:c r="C291" s="3" t="s">
        <x:v>146</x:v>
      </x:c>
      <x:c r="D291" s="5"/>
      <x:c r="E291" s="13"/>
      <x:c r="F291" s="4" t="str">
        <x:f t="shared" si="9"/>
      </x:c>
      <x:c r="G291" s="4" t="str">
        <x:f>IF(D291="","",D291*Parametri!$B$6)</x:f>
      </x:c>
      <x:c r="H291" s="4" t="str">
        <x:f t="shared" si="8"/>
      </x:c>
      <x:c r="I291" s="3" t="s">
        <x:v>147</x:v>
      </x:c>
      <x:c r="J291" s="3"/>
      <x:c r="K291" s="3"/>
      <x:c r="L291"/>
    </x:row>
    <x:row r="292">
      <x:c r="A292" s="8"/>
      <x:c r="B292" s="3"/>
      <x:c r="C292" s="3" t="s">
        <x:v>146</x:v>
      </x:c>
      <x:c r="D292" s="5"/>
      <x:c r="E292" s="13"/>
      <x:c r="F292" s="4" t="str">
        <x:f t="shared" si="9"/>
      </x:c>
      <x:c r="G292" s="4" t="str">
        <x:f>IF(D292="","",D292*Parametri!$B$6)</x:f>
      </x:c>
      <x:c r="H292" s="4" t="str">
        <x:f t="shared" si="8"/>
      </x:c>
      <x:c r="I292" s="3" t="s">
        <x:v>147</x:v>
      </x:c>
      <x:c r="J292" s="3"/>
      <x:c r="K292" s="3"/>
      <x:c r="L292"/>
    </x:row>
    <x:row r="293">
      <x:c r="A293" s="8"/>
      <x:c r="B293" s="3"/>
      <x:c r="C293" s="3" t="s">
        <x:v>146</x:v>
      </x:c>
      <x:c r="D293" s="5"/>
      <x:c r="E293" s="13"/>
      <x:c r="F293" s="4" t="str">
        <x:f t="shared" si="9"/>
      </x:c>
      <x:c r="G293" s="4" t="str">
        <x:f>IF(D293="","",D293*Parametri!$B$6)</x:f>
      </x:c>
      <x:c r="H293" s="4" t="str">
        <x:f t="shared" si="8"/>
      </x:c>
      <x:c r="I293" s="3" t="s">
        <x:v>147</x:v>
      </x:c>
      <x:c r="J293" s="3"/>
      <x:c r="K293" s="3"/>
      <x:c r="L293"/>
    </x:row>
    <x:row r="294">
      <x:c r="A294" s="8"/>
      <x:c r="B294" s="3"/>
      <x:c r="C294" s="3" t="s">
        <x:v>146</x:v>
      </x:c>
      <x:c r="D294" s="5"/>
      <x:c r="E294" s="13"/>
      <x:c r="F294" s="4" t="str">
        <x:f t="shared" si="9"/>
      </x:c>
      <x:c r="G294" s="4" t="str">
        <x:f>IF(D294="","",D294*Parametri!$B$6)</x:f>
      </x:c>
      <x:c r="H294" s="4" t="str">
        <x:f t="shared" si="8"/>
      </x:c>
      <x:c r="I294" s="3" t="s">
        <x:v>147</x:v>
      </x:c>
      <x:c r="J294" s="3"/>
      <x:c r="K294" s="3"/>
      <x:c r="L294"/>
    </x:row>
    <x:row r="295">
      <x:c r="A295" s="8"/>
      <x:c r="B295" s="3"/>
      <x:c r="C295" s="3" t="s">
        <x:v>146</x:v>
      </x:c>
      <x:c r="D295" s="5"/>
      <x:c r="E295" s="13"/>
      <x:c r="F295" s="4" t="str">
        <x:f t="shared" si="9"/>
      </x:c>
      <x:c r="G295" s="4" t="str">
        <x:f>IF(D295="","",D295*Parametri!$B$6)</x:f>
      </x:c>
      <x:c r="H295" s="4" t="str">
        <x:f t="shared" si="8"/>
      </x:c>
      <x:c r="I295" s="3" t="s">
        <x:v>147</x:v>
      </x:c>
      <x:c r="J295" s="3"/>
      <x:c r="K295" s="3"/>
      <x:c r="L295"/>
    </x:row>
    <x:row r="296">
      <x:c r="A296" s="8"/>
      <x:c r="B296" s="3"/>
      <x:c r="C296" s="3" t="s">
        <x:v>146</x:v>
      </x:c>
      <x:c r="D296" s="5"/>
      <x:c r="E296" s="13"/>
      <x:c r="F296" s="4" t="str">
        <x:f t="shared" si="9"/>
      </x:c>
      <x:c r="G296" s="4" t="str">
        <x:f>IF(D296="","",D296*Parametri!$B$6)</x:f>
      </x:c>
      <x:c r="H296" s="4" t="str">
        <x:f t="shared" si="8"/>
      </x:c>
      <x:c r="I296" s="3" t="s">
        <x:v>147</x:v>
      </x:c>
      <x:c r="J296" s="3"/>
      <x:c r="K296" s="3"/>
      <x:c r="L296"/>
    </x:row>
    <x:row r="297">
      <x:c r="A297" s="8"/>
      <x:c r="B297" s="3"/>
      <x:c r="C297" s="3" t="s">
        <x:v>146</x:v>
      </x:c>
      <x:c r="D297" s="5"/>
      <x:c r="E297" s="13"/>
      <x:c r="F297" s="4" t="str">
        <x:f t="shared" si="9"/>
      </x:c>
      <x:c r="G297" s="4" t="str">
        <x:f>IF(D297="","",D297*Parametri!$B$6)</x:f>
      </x:c>
      <x:c r="H297" s="4" t="str">
        <x:f t="shared" si="8"/>
      </x:c>
      <x:c r="I297" s="3" t="s">
        <x:v>147</x:v>
      </x:c>
      <x:c r="J297" s="3"/>
      <x:c r="K297" s="3"/>
      <x:c r="L297"/>
    </x:row>
    <x:row r="298">
      <x:c r="A298" s="8"/>
      <x:c r="B298" s="3"/>
      <x:c r="C298" s="3" t="s">
        <x:v>146</x:v>
      </x:c>
      <x:c r="D298" s="5"/>
      <x:c r="E298" s="13"/>
      <x:c r="F298" s="4" t="str">
        <x:f t="shared" si="9"/>
      </x:c>
      <x:c r="G298" s="4" t="str">
        <x:f>IF(D298="","",D298*Parametri!$B$6)</x:f>
      </x:c>
      <x:c r="H298" s="4" t="str">
        <x:f t="shared" si="8"/>
      </x:c>
      <x:c r="I298" s="3" t="s">
        <x:v>147</x:v>
      </x:c>
      <x:c r="J298" s="3"/>
      <x:c r="K298" s="3"/>
      <x:c r="L298"/>
    </x:row>
    <x:row r="299">
      <x:c r="A299" s="8"/>
      <x:c r="B299" s="3"/>
      <x:c r="C299" s="3" t="s">
        <x:v>146</x:v>
      </x:c>
      <x:c r="D299" s="5"/>
      <x:c r="E299" s="13"/>
      <x:c r="F299" s="4" t="str">
        <x:f t="shared" si="9"/>
      </x:c>
      <x:c r="G299" s="4" t="str">
        <x:f>IF(D299="","",D299*Parametri!$B$6)</x:f>
      </x:c>
      <x:c r="H299" s="4" t="str">
        <x:f t="shared" si="8"/>
      </x:c>
      <x:c r="I299" s="3" t="s">
        <x:v>147</x:v>
      </x:c>
      <x:c r="J299" s="3"/>
      <x:c r="K299" s="3"/>
      <x:c r="L299"/>
    </x:row>
    <x:row r="300">
      <x:c r="A300" s="8"/>
      <x:c r="B300" s="3"/>
      <x:c r="C300" s="3" t="s">
        <x:v>146</x:v>
      </x:c>
      <x:c r="D300" s="5"/>
      <x:c r="E300" s="13"/>
      <x:c r="F300" s="4" t="str">
        <x:f t="shared" si="9"/>
      </x:c>
      <x:c r="G300" s="4" t="str">
        <x:f>IF(D300="","",D300*Parametri!$B$6)</x:f>
      </x:c>
      <x:c r="H300" s="4" t="str">
        <x:f t="shared" si="8"/>
      </x:c>
      <x:c r="I300" s="3" t="s">
        <x:v>147</x:v>
      </x:c>
      <x:c r="J300" s="3"/>
      <x:c r="K300" s="3"/>
      <x:c r="L300"/>
    </x:row>
    <x:row r="301">
      <x:c r="A301" s="8"/>
      <x:c r="B301" s="3"/>
      <x:c r="C301" s="3" t="s">
        <x:v>146</x:v>
      </x:c>
      <x:c r="D301" s="5"/>
      <x:c r="E301" s="13"/>
      <x:c r="F301" s="4" t="str">
        <x:f t="shared" si="9"/>
      </x:c>
      <x:c r="G301" s="4" t="str">
        <x:f>IF(D301="","",D301*Parametri!$B$6)</x:f>
      </x:c>
      <x:c r="H301" s="4" t="str">
        <x:f t="shared" si="8"/>
      </x:c>
      <x:c r="I301" s="3" t="s">
        <x:v>147</x:v>
      </x:c>
      <x:c r="J301" s="3"/>
      <x:c r="K301" s="3"/>
      <x:c r="L301"/>
    </x:row>
    <x:row r="302">
      <x:c r="A302" s="8"/>
      <x:c r="B302" s="3"/>
      <x:c r="C302" s="3" t="s">
        <x:v>146</x:v>
      </x:c>
      <x:c r="D302" s="5"/>
      <x:c r="E302" s="13"/>
      <x:c r="F302" s="4" t="str">
        <x:f t="shared" si="9"/>
      </x:c>
      <x:c r="G302" s="4" t="str">
        <x:f>IF(D302="","",D302*Parametri!$B$6)</x:f>
      </x:c>
      <x:c r="H302" s="4" t="str">
        <x:f t="shared" si="8"/>
      </x:c>
      <x:c r="I302" s="3" t="s">
        <x:v>147</x:v>
      </x:c>
      <x:c r="J302" s="3"/>
      <x:c r="K302" s="3"/>
      <x:c r="L302"/>
    </x:row>
    <x:row r="303">
      <x:c r="A303" s="8"/>
      <x:c r="B303" s="3"/>
      <x:c r="C303" s="3" t="s">
        <x:v>146</x:v>
      </x:c>
      <x:c r="D303" s="5"/>
      <x:c r="E303" s="13"/>
      <x:c r="F303" s="4" t="str">
        <x:f t="shared" si="9"/>
      </x:c>
      <x:c r="G303" s="4" t="str">
        <x:f>IF(D303="","",D303*Parametri!$B$6)</x:f>
      </x:c>
      <x:c r="H303" s="4" t="str">
        <x:f t="shared" si="8"/>
      </x:c>
      <x:c r="I303" s="3" t="s">
        <x:v>147</x:v>
      </x:c>
      <x:c r="J303" s="3"/>
      <x:c r="K303" s="3"/>
      <x:c r="L303"/>
    </x:row>
  </x:sheetData>
  <x:mergeCells>
    <x:mergeCell ref="A1:K1"/>
  </x:mergeCells>
  <x:conditionalFormatting sqref="I4:I303">
    <x:cfRule type="expression" dxfId="10" priority="1">
      <x:formula>I4="Sì"</x:formula>
    </x:cfRule>
    <x:cfRule type="expression" dxfId="9" priority="2">
      <x:formula>I4="No"</x:formula>
    </x:cfRule>
  </x:conditionalFormatting>
  <x:dataValidations count="1">
    <x:dataValidation type="list" sqref="L4:L303">
      <x:formula1>'Persone_Quote'!$B$4:$B$18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e61bf009e94c5f"/>
  </x:tableParts>
</x:worksheet>
</file>

<file path=xl/worksheets/sheet7.xml><?xml version="1.0" encoding="utf-8"?>
<x:worksheet xmlns:x="http://schemas.openxmlformats.org/spreadsheetml/2006/main">
  <x:sheetFormatPr baseColWidth="10" defaultColWidth="8.83203125" defaultRowHeight="15"/>
  <x:cols>
    <x:col min="1" max="1" width="14" style="1" customWidth="1"/>
    <x:col min="2" max="2" width="24" style="1" customWidth="1"/>
    <x:col min="3" max="3" width="42" style="1" customWidth="1"/>
    <x:col min="4" max="4" width="14" style="1" customWidth="1"/>
    <x:col min="5" max="5" width="20" style="1" customWidth="1"/>
    <x:col min="6" max="6" width="16" style="1" customWidth="1"/>
    <x:col min="7" max="7" width="14" style="1" customWidth="1"/>
    <x:col min="8" max="8" width="36" style="1" customWidth="1"/>
    <x:col min="9" max="16384" width="8.83203125" style="1" customWidth="0"/>
  </x:cols>
  <x:sheetData>
    <x:row r="1" ht="37.25" customHeight="1">
      <x:c r="A1" s="14" t="s">
        <x:v>164</x:v>
      </x:c>
      <x:c r="B1" s="15"/>
      <x:c r="C1" s="15"/>
      <x:c r="D1" s="15"/>
      <x:c r="E1" s="15"/>
      <x:c r="F1" s="15"/>
      <x:c r="G1" s="15"/>
      <x:c r="H1" s="15"/>
    </x:row>
    <x:row r="3" ht="32" customHeight="1">
      <x:c r="A3" s="2" t="s">
        <x:v>125</x:v>
      </x:c>
      <x:c r="B3" s="2" t="s">
        <x:v>165</x:v>
      </x:c>
      <x:c r="C3" s="2" t="s">
        <x:v>140</x:v>
      </x:c>
      <x:c r="D3" s="2" t="s">
        <x:v>13</x:v>
      </x:c>
      <x:c r="E3" s="2" t="s">
        <x:v>131</x:v>
      </x:c>
      <x:c r="F3" s="2" t="s">
        <x:v>98</x:v>
      </x:c>
      <x:c r="G3" s="2" t="s">
        <x:v>166</x:v>
      </x:c>
      <x:c r="H3" s="2" t="s">
        <x:v>15</x:v>
      </x:c>
    </x:row>
    <x:row r="4">
      <x:c r="A4" s="8" t="s">
        <x:v>101</x:v>
      </x:c>
      <x:c r="B4" s="3" t="s">
        <x:v>167</x:v>
      </x:c>
      <x:c r="C4" s="3" t="s">
        <x:v>168</x:v>
      </x:c>
      <x:c r="D4" s="4">
        <x:v>80</x:v>
      </x:c>
      <x:c r="E4" s="3" t="s">
        <x:v>100</x:v>
      </x:c>
      <x:c r="F4" s="3" t="s">
        <x:v>169</x:v>
      </x:c>
      <x:c r="G4" s="3" t="s">
        <x:v>147</x:v>
      </x:c>
      <x:c r="H4" s="3"/>
    </x:row>
    <x:row r="5">
      <x:c r="A5" s="8"/>
      <x:c r="B5" s="3"/>
      <x:c r="C5" s="3"/>
      <x:c r="D5" s="4"/>
      <x:c r="E5" s="3"/>
      <x:c r="F5" s="3"/>
      <x:c r="G5" s="3" t="s">
        <x:v>147</x:v>
      </x:c>
      <x:c r="H5" s="3"/>
    </x:row>
    <x:row r="6">
      <x:c r="A6" s="8"/>
      <x:c r="B6" s="3"/>
      <x:c r="C6" s="3"/>
      <x:c r="D6" s="4"/>
      <x:c r="E6" s="3"/>
      <x:c r="F6" s="3"/>
      <x:c r="G6" s="3" t="s">
        <x:v>147</x:v>
      </x:c>
      <x:c r="H6" s="3"/>
    </x:row>
    <x:row r="7">
      <x:c r="A7" s="8"/>
      <x:c r="B7" s="3"/>
      <x:c r="C7" s="3"/>
      <x:c r="D7" s="4"/>
      <x:c r="E7" s="3"/>
      <x:c r="F7" s="3"/>
      <x:c r="G7" s="3" t="s">
        <x:v>147</x:v>
      </x:c>
      <x:c r="H7" s="3"/>
    </x:row>
    <x:row r="8">
      <x:c r="A8" s="8"/>
      <x:c r="B8" s="3"/>
      <x:c r="C8" s="3"/>
      <x:c r="D8" s="4"/>
      <x:c r="E8" s="3"/>
      <x:c r="F8" s="3"/>
      <x:c r="G8" s="3" t="s">
        <x:v>147</x:v>
      </x:c>
      <x:c r="H8" s="3"/>
    </x:row>
    <x:row r="9">
      <x:c r="A9" s="8"/>
      <x:c r="B9" s="3"/>
      <x:c r="C9" s="3"/>
      <x:c r="D9" s="4"/>
      <x:c r="E9" s="3"/>
      <x:c r="F9" s="3"/>
      <x:c r="G9" s="3" t="s">
        <x:v>147</x:v>
      </x:c>
      <x:c r="H9" s="3"/>
    </x:row>
    <x:row r="10">
      <x:c r="A10" s="8"/>
      <x:c r="B10" s="3"/>
      <x:c r="C10" s="3"/>
      <x:c r="D10" s="4"/>
      <x:c r="E10" s="3"/>
      <x:c r="F10" s="3"/>
      <x:c r="G10" s="3" t="s">
        <x:v>147</x:v>
      </x:c>
      <x:c r="H10" s="3"/>
    </x:row>
    <x:row r="11">
      <x:c r="A11" s="8"/>
      <x:c r="B11" s="3"/>
      <x:c r="C11" s="3"/>
      <x:c r="D11" s="4"/>
      <x:c r="E11" s="3"/>
      <x:c r="F11" s="3"/>
      <x:c r="G11" s="3" t="s">
        <x:v>147</x:v>
      </x:c>
      <x:c r="H11" s="3"/>
    </x:row>
    <x:row r="12">
      <x:c r="A12" s="8"/>
      <x:c r="B12" s="3"/>
      <x:c r="C12" s="3"/>
      <x:c r="D12" s="4"/>
      <x:c r="E12" s="3"/>
      <x:c r="F12" s="3"/>
      <x:c r="G12" s="3" t="s">
        <x:v>147</x:v>
      </x:c>
      <x:c r="H12" s="3"/>
    </x:row>
    <x:row r="13">
      <x:c r="A13" s="8"/>
      <x:c r="B13" s="3"/>
      <x:c r="C13" s="3"/>
      <x:c r="D13" s="4"/>
      <x:c r="E13" s="3"/>
      <x:c r="F13" s="3"/>
      <x:c r="G13" s="3" t="s">
        <x:v>147</x:v>
      </x:c>
      <x:c r="H13" s="3"/>
    </x:row>
    <x:row r="14">
      <x:c r="A14" s="8"/>
      <x:c r="B14" s="3"/>
      <x:c r="C14" s="3"/>
      <x:c r="D14" s="4"/>
      <x:c r="E14" s="3"/>
      <x:c r="F14" s="3"/>
      <x:c r="G14" s="3" t="s">
        <x:v>147</x:v>
      </x:c>
      <x:c r="H14" s="3"/>
    </x:row>
    <x:row r="15">
      <x:c r="A15" s="8"/>
      <x:c r="B15" s="3"/>
      <x:c r="C15" s="3"/>
      <x:c r="D15" s="4"/>
      <x:c r="E15" s="3"/>
      <x:c r="F15" s="3"/>
      <x:c r="G15" s="3" t="s">
        <x:v>147</x:v>
      </x:c>
      <x:c r="H15" s="3"/>
    </x:row>
    <x:row r="16">
      <x:c r="A16" s="8"/>
      <x:c r="B16" s="3"/>
      <x:c r="C16" s="3"/>
      <x:c r="D16" s="4"/>
      <x:c r="E16" s="3"/>
      <x:c r="F16" s="3"/>
      <x:c r="G16" s="3" t="s">
        <x:v>147</x:v>
      </x:c>
      <x:c r="H16" s="3"/>
    </x:row>
    <x:row r="17">
      <x:c r="A17" s="8"/>
      <x:c r="B17" s="3"/>
      <x:c r="C17" s="3"/>
      <x:c r="D17" s="4"/>
      <x:c r="E17" s="3"/>
      <x:c r="F17" s="3"/>
      <x:c r="G17" s="3" t="s">
        <x:v>147</x:v>
      </x:c>
      <x:c r="H17" s="3"/>
    </x:row>
    <x:row r="18">
      <x:c r="A18" s="8"/>
      <x:c r="B18" s="3"/>
      <x:c r="C18" s="3"/>
      <x:c r="D18" s="4"/>
      <x:c r="E18" s="3"/>
      <x:c r="F18" s="3"/>
      <x:c r="G18" s="3" t="s">
        <x:v>147</x:v>
      </x:c>
      <x:c r="H18" s="3"/>
    </x:row>
    <x:row r="19">
      <x:c r="A19" s="8"/>
      <x:c r="B19" s="3"/>
      <x:c r="C19" s="3"/>
      <x:c r="D19" s="4"/>
      <x:c r="E19" s="3"/>
      <x:c r="F19" s="3"/>
      <x:c r="G19" s="3" t="s">
        <x:v>147</x:v>
      </x:c>
      <x:c r="H19" s="3"/>
    </x:row>
    <x:row r="20">
      <x:c r="A20" s="8"/>
      <x:c r="B20" s="3"/>
      <x:c r="C20" s="3"/>
      <x:c r="D20" s="4"/>
      <x:c r="E20" s="3"/>
      <x:c r="F20" s="3"/>
      <x:c r="G20" s="3" t="s">
        <x:v>147</x:v>
      </x:c>
      <x:c r="H20" s="3"/>
    </x:row>
    <x:row r="21">
      <x:c r="A21" s="8"/>
      <x:c r="B21" s="3"/>
      <x:c r="C21" s="3"/>
      <x:c r="D21" s="4"/>
      <x:c r="E21" s="3"/>
      <x:c r="F21" s="3"/>
      <x:c r="G21" s="3" t="s">
        <x:v>147</x:v>
      </x:c>
      <x:c r="H21" s="3"/>
    </x:row>
    <x:row r="22">
      <x:c r="A22" s="8"/>
      <x:c r="B22" s="3"/>
      <x:c r="C22" s="3"/>
      <x:c r="D22" s="4"/>
      <x:c r="E22" s="3"/>
      <x:c r="F22" s="3"/>
      <x:c r="G22" s="3" t="s">
        <x:v>147</x:v>
      </x:c>
      <x:c r="H22" s="3"/>
    </x:row>
    <x:row r="23">
      <x:c r="A23" s="8"/>
      <x:c r="B23" s="3"/>
      <x:c r="C23" s="3"/>
      <x:c r="D23" s="4"/>
      <x:c r="E23" s="3"/>
      <x:c r="F23" s="3"/>
      <x:c r="G23" s="3" t="s">
        <x:v>147</x:v>
      </x:c>
      <x:c r="H23" s="3"/>
    </x:row>
    <x:row r="24">
      <x:c r="A24" s="8"/>
      <x:c r="B24" s="3"/>
      <x:c r="C24" s="3"/>
      <x:c r="D24" s="4"/>
      <x:c r="E24" s="3"/>
      <x:c r="F24" s="3"/>
      <x:c r="G24" s="3" t="s">
        <x:v>147</x:v>
      </x:c>
      <x:c r="H24" s="3"/>
    </x:row>
    <x:row r="25">
      <x:c r="A25" s="8"/>
      <x:c r="B25" s="3"/>
      <x:c r="C25" s="3"/>
      <x:c r="D25" s="4"/>
      <x:c r="E25" s="3"/>
      <x:c r="F25" s="3"/>
      <x:c r="G25" s="3" t="s">
        <x:v>147</x:v>
      </x:c>
      <x:c r="H25" s="3"/>
    </x:row>
    <x:row r="26">
      <x:c r="A26" s="8"/>
      <x:c r="B26" s="3"/>
      <x:c r="C26" s="3"/>
      <x:c r="D26" s="4"/>
      <x:c r="E26" s="3"/>
      <x:c r="F26" s="3"/>
      <x:c r="G26" s="3" t="s">
        <x:v>147</x:v>
      </x:c>
      <x:c r="H26" s="3"/>
    </x:row>
    <x:row r="27">
      <x:c r="A27" s="8"/>
      <x:c r="B27" s="3"/>
      <x:c r="C27" s="3"/>
      <x:c r="D27" s="4"/>
      <x:c r="E27" s="3"/>
      <x:c r="F27" s="3"/>
      <x:c r="G27" s="3" t="s">
        <x:v>147</x:v>
      </x:c>
      <x:c r="H27" s="3"/>
    </x:row>
    <x:row r="28">
      <x:c r="A28" s="8"/>
      <x:c r="B28" s="3"/>
      <x:c r="C28" s="3"/>
      <x:c r="D28" s="4"/>
      <x:c r="E28" s="3"/>
      <x:c r="F28" s="3"/>
      <x:c r="G28" s="3" t="s">
        <x:v>147</x:v>
      </x:c>
      <x:c r="H28" s="3"/>
    </x:row>
    <x:row r="29">
      <x:c r="A29" s="8"/>
      <x:c r="B29" s="3"/>
      <x:c r="C29" s="3"/>
      <x:c r="D29" s="4"/>
      <x:c r="E29" s="3"/>
      <x:c r="F29" s="3"/>
      <x:c r="G29" s="3" t="s">
        <x:v>147</x:v>
      </x:c>
      <x:c r="H29" s="3"/>
    </x:row>
    <x:row r="30">
      <x:c r="A30" s="8"/>
      <x:c r="B30" s="3"/>
      <x:c r="C30" s="3"/>
      <x:c r="D30" s="4"/>
      <x:c r="E30" s="3"/>
      <x:c r="F30" s="3"/>
      <x:c r="G30" s="3" t="s">
        <x:v>147</x:v>
      </x:c>
      <x:c r="H30" s="3"/>
    </x:row>
    <x:row r="31">
      <x:c r="A31" s="8"/>
      <x:c r="B31" s="3"/>
      <x:c r="C31" s="3"/>
      <x:c r="D31" s="4"/>
      <x:c r="E31" s="3"/>
      <x:c r="F31" s="3"/>
      <x:c r="G31" s="3" t="s">
        <x:v>147</x:v>
      </x:c>
      <x:c r="H31" s="3"/>
    </x:row>
    <x:row r="32">
      <x:c r="A32" s="8"/>
      <x:c r="B32" s="3"/>
      <x:c r="C32" s="3"/>
      <x:c r="D32" s="4"/>
      <x:c r="E32" s="3"/>
      <x:c r="F32" s="3"/>
      <x:c r="G32" s="3" t="s">
        <x:v>147</x:v>
      </x:c>
      <x:c r="H32" s="3"/>
    </x:row>
    <x:row r="33">
      <x:c r="A33" s="8"/>
      <x:c r="B33" s="3"/>
      <x:c r="C33" s="3"/>
      <x:c r="D33" s="4"/>
      <x:c r="E33" s="3"/>
      <x:c r="F33" s="3"/>
      <x:c r="G33" s="3" t="s">
        <x:v>147</x:v>
      </x:c>
      <x:c r="H33" s="3"/>
    </x:row>
    <x:row r="34">
      <x:c r="A34" s="8"/>
      <x:c r="B34" s="3"/>
      <x:c r="C34" s="3"/>
      <x:c r="D34" s="4"/>
      <x:c r="E34" s="3"/>
      <x:c r="F34" s="3"/>
      <x:c r="G34" s="3" t="s">
        <x:v>147</x:v>
      </x:c>
      <x:c r="H34" s="3"/>
    </x:row>
    <x:row r="35">
      <x:c r="A35" s="8"/>
      <x:c r="B35" s="3"/>
      <x:c r="C35" s="3"/>
      <x:c r="D35" s="4"/>
      <x:c r="E35" s="3"/>
      <x:c r="F35" s="3"/>
      <x:c r="G35" s="3" t="s">
        <x:v>147</x:v>
      </x:c>
      <x:c r="H35" s="3"/>
    </x:row>
    <x:row r="36">
      <x:c r="A36" s="8"/>
      <x:c r="B36" s="3"/>
      <x:c r="C36" s="3"/>
      <x:c r="D36" s="4"/>
      <x:c r="E36" s="3"/>
      <x:c r="F36" s="3"/>
      <x:c r="G36" s="3" t="s">
        <x:v>147</x:v>
      </x:c>
      <x:c r="H36" s="3"/>
    </x:row>
    <x:row r="37">
      <x:c r="A37" s="8"/>
      <x:c r="B37" s="3"/>
      <x:c r="C37" s="3"/>
      <x:c r="D37" s="4"/>
      <x:c r="E37" s="3"/>
      <x:c r="F37" s="3"/>
      <x:c r="G37" s="3" t="s">
        <x:v>147</x:v>
      </x:c>
      <x:c r="H37" s="3"/>
    </x:row>
    <x:row r="38">
      <x:c r="A38" s="8"/>
      <x:c r="B38" s="3"/>
      <x:c r="C38" s="3"/>
      <x:c r="D38" s="4"/>
      <x:c r="E38" s="3"/>
      <x:c r="F38" s="3"/>
      <x:c r="G38" s="3" t="s">
        <x:v>147</x:v>
      </x:c>
      <x:c r="H38" s="3"/>
    </x:row>
    <x:row r="39">
      <x:c r="A39" s="8"/>
      <x:c r="B39" s="3"/>
      <x:c r="C39" s="3"/>
      <x:c r="D39" s="4"/>
      <x:c r="E39" s="3"/>
      <x:c r="F39" s="3"/>
      <x:c r="G39" s="3" t="s">
        <x:v>147</x:v>
      </x:c>
      <x:c r="H39" s="3"/>
    </x:row>
    <x:row r="40">
      <x:c r="A40" s="8"/>
      <x:c r="B40" s="3"/>
      <x:c r="C40" s="3"/>
      <x:c r="D40" s="4"/>
      <x:c r="E40" s="3"/>
      <x:c r="F40" s="3"/>
      <x:c r="G40" s="3" t="s">
        <x:v>147</x:v>
      </x:c>
      <x:c r="H40" s="3"/>
    </x:row>
    <x:row r="41">
      <x:c r="A41" s="8"/>
      <x:c r="B41" s="3"/>
      <x:c r="C41" s="3"/>
      <x:c r="D41" s="4"/>
      <x:c r="E41" s="3"/>
      <x:c r="F41" s="3"/>
      <x:c r="G41" s="3" t="s">
        <x:v>147</x:v>
      </x:c>
      <x:c r="H41" s="3"/>
    </x:row>
    <x:row r="42">
      <x:c r="A42" s="8"/>
      <x:c r="B42" s="3"/>
      <x:c r="C42" s="3"/>
      <x:c r="D42" s="4"/>
      <x:c r="E42" s="3"/>
      <x:c r="F42" s="3"/>
      <x:c r="G42" s="3" t="s">
        <x:v>147</x:v>
      </x:c>
      <x:c r="H42" s="3"/>
    </x:row>
    <x:row r="43">
      <x:c r="A43" s="8"/>
      <x:c r="B43" s="3"/>
      <x:c r="C43" s="3"/>
      <x:c r="D43" s="4"/>
      <x:c r="E43" s="3"/>
      <x:c r="F43" s="3"/>
      <x:c r="G43" s="3" t="s">
        <x:v>147</x:v>
      </x:c>
      <x:c r="H43" s="3"/>
    </x:row>
    <x:row r="44">
      <x:c r="A44" s="8"/>
      <x:c r="B44" s="3"/>
      <x:c r="C44" s="3"/>
      <x:c r="D44" s="4"/>
      <x:c r="E44" s="3"/>
      <x:c r="F44" s="3"/>
      <x:c r="G44" s="3" t="s">
        <x:v>147</x:v>
      </x:c>
      <x:c r="H44" s="3"/>
    </x:row>
    <x:row r="45">
      <x:c r="A45" s="8"/>
      <x:c r="B45" s="3"/>
      <x:c r="C45" s="3"/>
      <x:c r="D45" s="4"/>
      <x:c r="E45" s="3"/>
      <x:c r="F45" s="3"/>
      <x:c r="G45" s="3" t="s">
        <x:v>147</x:v>
      </x:c>
      <x:c r="H45" s="3"/>
    </x:row>
    <x:row r="46">
      <x:c r="A46" s="8"/>
      <x:c r="B46" s="3"/>
      <x:c r="C46" s="3"/>
      <x:c r="D46" s="4"/>
      <x:c r="E46" s="3"/>
      <x:c r="F46" s="3"/>
      <x:c r="G46" s="3" t="s">
        <x:v>147</x:v>
      </x:c>
      <x:c r="H46" s="3"/>
    </x:row>
    <x:row r="47">
      <x:c r="A47" s="8"/>
      <x:c r="B47" s="3"/>
      <x:c r="C47" s="3"/>
      <x:c r="D47" s="4"/>
      <x:c r="E47" s="3"/>
      <x:c r="F47" s="3"/>
      <x:c r="G47" s="3" t="s">
        <x:v>147</x:v>
      </x:c>
      <x:c r="H47" s="3"/>
    </x:row>
    <x:row r="48">
      <x:c r="A48" s="8"/>
      <x:c r="B48" s="3"/>
      <x:c r="C48" s="3"/>
      <x:c r="D48" s="4"/>
      <x:c r="E48" s="3"/>
      <x:c r="F48" s="3"/>
      <x:c r="G48" s="3" t="s">
        <x:v>147</x:v>
      </x:c>
      <x:c r="H48" s="3"/>
    </x:row>
    <x:row r="49">
      <x:c r="A49" s="8"/>
      <x:c r="B49" s="3"/>
      <x:c r="C49" s="3"/>
      <x:c r="D49" s="4"/>
      <x:c r="E49" s="3"/>
      <x:c r="F49" s="3"/>
      <x:c r="G49" s="3" t="s">
        <x:v>147</x:v>
      </x:c>
      <x:c r="H49" s="3"/>
    </x:row>
    <x:row r="50">
      <x:c r="A50" s="8"/>
      <x:c r="B50" s="3"/>
      <x:c r="C50" s="3"/>
      <x:c r="D50" s="4"/>
      <x:c r="E50" s="3"/>
      <x:c r="F50" s="3"/>
      <x:c r="G50" s="3" t="s">
        <x:v>147</x:v>
      </x:c>
      <x:c r="H50" s="3"/>
    </x:row>
    <x:row r="51">
      <x:c r="A51" s="8"/>
      <x:c r="B51" s="3"/>
      <x:c r="C51" s="3"/>
      <x:c r="D51" s="4"/>
      <x:c r="E51" s="3"/>
      <x:c r="F51" s="3"/>
      <x:c r="G51" s="3" t="s">
        <x:v>147</x:v>
      </x:c>
      <x:c r="H51" s="3"/>
    </x:row>
    <x:row r="52">
      <x:c r="A52" s="8"/>
      <x:c r="B52" s="3"/>
      <x:c r="C52" s="3"/>
      <x:c r="D52" s="4"/>
      <x:c r="E52" s="3"/>
      <x:c r="F52" s="3"/>
      <x:c r="G52" s="3" t="s">
        <x:v>147</x:v>
      </x:c>
      <x:c r="H52" s="3"/>
    </x:row>
    <x:row r="53">
      <x:c r="A53" s="8"/>
      <x:c r="B53" s="3"/>
      <x:c r="C53" s="3"/>
      <x:c r="D53" s="4"/>
      <x:c r="E53" s="3"/>
      <x:c r="F53" s="3"/>
      <x:c r="G53" s="3" t="s">
        <x:v>147</x:v>
      </x:c>
      <x:c r="H53" s="3"/>
    </x:row>
    <x:row r="54">
      <x:c r="A54" s="8"/>
      <x:c r="B54" s="3"/>
      <x:c r="C54" s="3"/>
      <x:c r="D54" s="4"/>
      <x:c r="E54" s="3"/>
      <x:c r="F54" s="3"/>
      <x:c r="G54" s="3" t="s">
        <x:v>147</x:v>
      </x:c>
      <x:c r="H54" s="3"/>
    </x:row>
    <x:row r="55">
      <x:c r="A55" s="8"/>
      <x:c r="B55" s="3"/>
      <x:c r="C55" s="3"/>
      <x:c r="D55" s="4"/>
      <x:c r="E55" s="3"/>
      <x:c r="F55" s="3"/>
      <x:c r="G55" s="3" t="s">
        <x:v>147</x:v>
      </x:c>
      <x:c r="H55" s="3"/>
    </x:row>
    <x:row r="56">
      <x:c r="A56" s="8"/>
      <x:c r="B56" s="3"/>
      <x:c r="C56" s="3"/>
      <x:c r="D56" s="4"/>
      <x:c r="E56" s="3"/>
      <x:c r="F56" s="3"/>
      <x:c r="G56" s="3" t="s">
        <x:v>147</x:v>
      </x:c>
      <x:c r="H56" s="3"/>
    </x:row>
    <x:row r="57">
      <x:c r="A57" s="8"/>
      <x:c r="B57" s="3"/>
      <x:c r="C57" s="3"/>
      <x:c r="D57" s="4"/>
      <x:c r="E57" s="3"/>
      <x:c r="F57" s="3"/>
      <x:c r="G57" s="3" t="s">
        <x:v>147</x:v>
      </x:c>
      <x:c r="H57" s="3"/>
    </x:row>
    <x:row r="58">
      <x:c r="A58" s="8"/>
      <x:c r="B58" s="3"/>
      <x:c r="C58" s="3"/>
      <x:c r="D58" s="4"/>
      <x:c r="E58" s="3"/>
      <x:c r="F58" s="3"/>
      <x:c r="G58" s="3" t="s">
        <x:v>147</x:v>
      </x:c>
      <x:c r="H58" s="3"/>
    </x:row>
    <x:row r="59">
      <x:c r="A59" s="8"/>
      <x:c r="B59" s="3"/>
      <x:c r="C59" s="3"/>
      <x:c r="D59" s="4"/>
      <x:c r="E59" s="3"/>
      <x:c r="F59" s="3"/>
      <x:c r="G59" s="3" t="s">
        <x:v>147</x:v>
      </x:c>
      <x:c r="H59" s="3"/>
    </x:row>
    <x:row r="60">
      <x:c r="A60" s="8"/>
      <x:c r="B60" s="3"/>
      <x:c r="C60" s="3"/>
      <x:c r="D60" s="4"/>
      <x:c r="E60" s="3"/>
      <x:c r="F60" s="3"/>
      <x:c r="G60" s="3" t="s">
        <x:v>147</x:v>
      </x:c>
      <x:c r="H60" s="3"/>
    </x:row>
    <x:row r="61">
      <x:c r="A61" s="8"/>
      <x:c r="B61" s="3"/>
      <x:c r="C61" s="3"/>
      <x:c r="D61" s="4"/>
      <x:c r="E61" s="3"/>
      <x:c r="F61" s="3"/>
      <x:c r="G61" s="3" t="s">
        <x:v>147</x:v>
      </x:c>
      <x:c r="H61" s="3"/>
    </x:row>
    <x:row r="62">
      <x:c r="A62" s="8"/>
      <x:c r="B62" s="3"/>
      <x:c r="C62" s="3"/>
      <x:c r="D62" s="4"/>
      <x:c r="E62" s="3"/>
      <x:c r="F62" s="3"/>
      <x:c r="G62" s="3" t="s">
        <x:v>147</x:v>
      </x:c>
      <x:c r="H62" s="3"/>
    </x:row>
    <x:row r="63">
      <x:c r="A63" s="8"/>
      <x:c r="B63" s="3"/>
      <x:c r="C63" s="3"/>
      <x:c r="D63" s="4"/>
      <x:c r="E63" s="3"/>
      <x:c r="F63" s="3"/>
      <x:c r="G63" s="3" t="s">
        <x:v>147</x:v>
      </x:c>
      <x:c r="H63" s="3"/>
    </x:row>
    <x:row r="64">
      <x:c r="A64" s="8"/>
      <x:c r="B64" s="3"/>
      <x:c r="C64" s="3"/>
      <x:c r="D64" s="4"/>
      <x:c r="E64" s="3"/>
      <x:c r="F64" s="3"/>
      <x:c r="G64" s="3" t="s">
        <x:v>147</x:v>
      </x:c>
      <x:c r="H64" s="3"/>
    </x:row>
    <x:row r="65">
      <x:c r="A65" s="8"/>
      <x:c r="B65" s="3"/>
      <x:c r="C65" s="3"/>
      <x:c r="D65" s="4"/>
      <x:c r="E65" s="3"/>
      <x:c r="F65" s="3"/>
      <x:c r="G65" s="3" t="s">
        <x:v>147</x:v>
      </x:c>
      <x:c r="H65" s="3"/>
    </x:row>
    <x:row r="66">
      <x:c r="A66" s="8"/>
      <x:c r="B66" s="3"/>
      <x:c r="C66" s="3"/>
      <x:c r="D66" s="4"/>
      <x:c r="E66" s="3"/>
      <x:c r="F66" s="3"/>
      <x:c r="G66" s="3" t="s">
        <x:v>147</x:v>
      </x:c>
      <x:c r="H66" s="3"/>
    </x:row>
    <x:row r="67">
      <x:c r="A67" s="8"/>
      <x:c r="B67" s="3"/>
      <x:c r="C67" s="3"/>
      <x:c r="D67" s="4"/>
      <x:c r="E67" s="3"/>
      <x:c r="F67" s="3"/>
      <x:c r="G67" s="3" t="s">
        <x:v>147</x:v>
      </x:c>
      <x:c r="H67" s="3"/>
    </x:row>
    <x:row r="68">
      <x:c r="A68" s="8"/>
      <x:c r="B68" s="3"/>
      <x:c r="C68" s="3"/>
      <x:c r="D68" s="4"/>
      <x:c r="E68" s="3"/>
      <x:c r="F68" s="3"/>
      <x:c r="G68" s="3" t="s">
        <x:v>147</x:v>
      </x:c>
      <x:c r="H68" s="3"/>
    </x:row>
    <x:row r="69">
      <x:c r="A69" s="8"/>
      <x:c r="B69" s="3"/>
      <x:c r="C69" s="3"/>
      <x:c r="D69" s="4"/>
      <x:c r="E69" s="3"/>
      <x:c r="F69" s="3"/>
      <x:c r="G69" s="3" t="s">
        <x:v>147</x:v>
      </x:c>
      <x:c r="H69" s="3"/>
    </x:row>
    <x:row r="70">
      <x:c r="A70" s="8"/>
      <x:c r="B70" s="3"/>
      <x:c r="C70" s="3"/>
      <x:c r="D70" s="4"/>
      <x:c r="E70" s="3"/>
      <x:c r="F70" s="3"/>
      <x:c r="G70" s="3" t="s">
        <x:v>147</x:v>
      </x:c>
      <x:c r="H70" s="3"/>
    </x:row>
    <x:row r="71">
      <x:c r="A71" s="8"/>
      <x:c r="B71" s="3"/>
      <x:c r="C71" s="3"/>
      <x:c r="D71" s="4"/>
      <x:c r="E71" s="3"/>
      <x:c r="F71" s="3"/>
      <x:c r="G71" s="3" t="s">
        <x:v>147</x:v>
      </x:c>
      <x:c r="H71" s="3"/>
    </x:row>
    <x:row r="72">
      <x:c r="A72" s="8"/>
      <x:c r="B72" s="3"/>
      <x:c r="C72" s="3"/>
      <x:c r="D72" s="4"/>
      <x:c r="E72" s="3"/>
      <x:c r="F72" s="3"/>
      <x:c r="G72" s="3" t="s">
        <x:v>147</x:v>
      </x:c>
      <x:c r="H72" s="3"/>
    </x:row>
    <x:row r="73">
      <x:c r="A73" s="8"/>
      <x:c r="B73" s="3"/>
      <x:c r="C73" s="3"/>
      <x:c r="D73" s="4"/>
      <x:c r="E73" s="3"/>
      <x:c r="F73" s="3"/>
      <x:c r="G73" s="3" t="s">
        <x:v>147</x:v>
      </x:c>
      <x:c r="H73" s="3"/>
    </x:row>
    <x:row r="74">
      <x:c r="A74" s="8"/>
      <x:c r="B74" s="3"/>
      <x:c r="C74" s="3"/>
      <x:c r="D74" s="4"/>
      <x:c r="E74" s="3"/>
      <x:c r="F74" s="3"/>
      <x:c r="G74" s="3" t="s">
        <x:v>147</x:v>
      </x:c>
      <x:c r="H74" s="3"/>
    </x:row>
    <x:row r="75">
      <x:c r="A75" s="8"/>
      <x:c r="B75" s="3"/>
      <x:c r="C75" s="3"/>
      <x:c r="D75" s="4"/>
      <x:c r="E75" s="3"/>
      <x:c r="F75" s="3"/>
      <x:c r="G75" s="3" t="s">
        <x:v>147</x:v>
      </x:c>
      <x:c r="H75" s="3"/>
    </x:row>
    <x:row r="76">
      <x:c r="A76" s="8"/>
      <x:c r="B76" s="3"/>
      <x:c r="C76" s="3"/>
      <x:c r="D76" s="4"/>
      <x:c r="E76" s="3"/>
      <x:c r="F76" s="3"/>
      <x:c r="G76" s="3" t="s">
        <x:v>147</x:v>
      </x:c>
      <x:c r="H76" s="3"/>
    </x:row>
    <x:row r="77">
      <x:c r="A77" s="8"/>
      <x:c r="B77" s="3"/>
      <x:c r="C77" s="3"/>
      <x:c r="D77" s="4"/>
      <x:c r="E77" s="3"/>
      <x:c r="F77" s="3"/>
      <x:c r="G77" s="3" t="s">
        <x:v>147</x:v>
      </x:c>
      <x:c r="H77" s="3"/>
    </x:row>
    <x:row r="78">
      <x:c r="A78" s="8"/>
      <x:c r="B78" s="3"/>
      <x:c r="C78" s="3"/>
      <x:c r="D78" s="4"/>
      <x:c r="E78" s="3"/>
      <x:c r="F78" s="3"/>
      <x:c r="G78" s="3" t="s">
        <x:v>147</x:v>
      </x:c>
      <x:c r="H78" s="3"/>
    </x:row>
    <x:row r="79">
      <x:c r="A79" s="8"/>
      <x:c r="B79" s="3"/>
      <x:c r="C79" s="3"/>
      <x:c r="D79" s="4"/>
      <x:c r="E79" s="3"/>
      <x:c r="F79" s="3"/>
      <x:c r="G79" s="3" t="s">
        <x:v>147</x:v>
      </x:c>
      <x:c r="H79" s="3"/>
    </x:row>
    <x:row r="80">
      <x:c r="A80" s="8"/>
      <x:c r="B80" s="3"/>
      <x:c r="C80" s="3"/>
      <x:c r="D80" s="4"/>
      <x:c r="E80" s="3"/>
      <x:c r="F80" s="3"/>
      <x:c r="G80" s="3" t="s">
        <x:v>147</x:v>
      </x:c>
      <x:c r="H80" s="3"/>
    </x:row>
    <x:row r="81">
      <x:c r="A81" s="8"/>
      <x:c r="B81" s="3"/>
      <x:c r="C81" s="3"/>
      <x:c r="D81" s="4"/>
      <x:c r="E81" s="3"/>
      <x:c r="F81" s="3"/>
      <x:c r="G81" s="3" t="s">
        <x:v>147</x:v>
      </x:c>
      <x:c r="H81" s="3"/>
    </x:row>
    <x:row r="82">
      <x:c r="A82" s="8"/>
      <x:c r="B82" s="3"/>
      <x:c r="C82" s="3"/>
      <x:c r="D82" s="4"/>
      <x:c r="E82" s="3"/>
      <x:c r="F82" s="3"/>
      <x:c r="G82" s="3" t="s">
        <x:v>147</x:v>
      </x:c>
      <x:c r="H82" s="3"/>
    </x:row>
    <x:row r="83">
      <x:c r="A83" s="8"/>
      <x:c r="B83" s="3"/>
      <x:c r="C83" s="3"/>
      <x:c r="D83" s="4"/>
      <x:c r="E83" s="3"/>
      <x:c r="F83" s="3"/>
      <x:c r="G83" s="3" t="s">
        <x:v>147</x:v>
      </x:c>
      <x:c r="H83" s="3"/>
    </x:row>
    <x:row r="84">
      <x:c r="A84" s="8"/>
      <x:c r="B84" s="3"/>
      <x:c r="C84" s="3"/>
      <x:c r="D84" s="4"/>
      <x:c r="E84" s="3"/>
      <x:c r="F84" s="3"/>
      <x:c r="G84" s="3" t="s">
        <x:v>147</x:v>
      </x:c>
      <x:c r="H84" s="3"/>
    </x:row>
    <x:row r="85">
      <x:c r="A85" s="8"/>
      <x:c r="B85" s="3"/>
      <x:c r="C85" s="3"/>
      <x:c r="D85" s="4"/>
      <x:c r="E85" s="3"/>
      <x:c r="F85" s="3"/>
      <x:c r="G85" s="3" t="s">
        <x:v>147</x:v>
      </x:c>
      <x:c r="H85" s="3"/>
    </x:row>
    <x:row r="86">
      <x:c r="A86" s="8"/>
      <x:c r="B86" s="3"/>
      <x:c r="C86" s="3"/>
      <x:c r="D86" s="4"/>
      <x:c r="E86" s="3"/>
      <x:c r="F86" s="3"/>
      <x:c r="G86" s="3" t="s">
        <x:v>147</x:v>
      </x:c>
      <x:c r="H86" s="3"/>
    </x:row>
    <x:row r="87">
      <x:c r="A87" s="8"/>
      <x:c r="B87" s="3"/>
      <x:c r="C87" s="3"/>
      <x:c r="D87" s="4"/>
      <x:c r="E87" s="3"/>
      <x:c r="F87" s="3"/>
      <x:c r="G87" s="3" t="s">
        <x:v>147</x:v>
      </x:c>
      <x:c r="H87" s="3"/>
    </x:row>
    <x:row r="88">
      <x:c r="A88" s="8"/>
      <x:c r="B88" s="3"/>
      <x:c r="C88" s="3"/>
      <x:c r="D88" s="4"/>
      <x:c r="E88" s="3"/>
      <x:c r="F88" s="3"/>
      <x:c r="G88" s="3" t="s">
        <x:v>147</x:v>
      </x:c>
      <x:c r="H88" s="3"/>
    </x:row>
    <x:row r="89">
      <x:c r="A89" s="8"/>
      <x:c r="B89" s="3"/>
      <x:c r="C89" s="3"/>
      <x:c r="D89" s="4"/>
      <x:c r="E89" s="3"/>
      <x:c r="F89" s="3"/>
      <x:c r="G89" s="3" t="s">
        <x:v>147</x:v>
      </x:c>
      <x:c r="H89" s="3"/>
    </x:row>
    <x:row r="90">
      <x:c r="A90" s="8"/>
      <x:c r="B90" s="3"/>
      <x:c r="C90" s="3"/>
      <x:c r="D90" s="4"/>
      <x:c r="E90" s="3"/>
      <x:c r="F90" s="3"/>
      <x:c r="G90" s="3" t="s">
        <x:v>147</x:v>
      </x:c>
      <x:c r="H90" s="3"/>
    </x:row>
    <x:row r="91">
      <x:c r="A91" s="8"/>
      <x:c r="B91" s="3"/>
      <x:c r="C91" s="3"/>
      <x:c r="D91" s="4"/>
      <x:c r="E91" s="3"/>
      <x:c r="F91" s="3"/>
      <x:c r="G91" s="3" t="s">
        <x:v>147</x:v>
      </x:c>
      <x:c r="H91" s="3"/>
    </x:row>
    <x:row r="92">
      <x:c r="A92" s="8"/>
      <x:c r="B92" s="3"/>
      <x:c r="C92" s="3"/>
      <x:c r="D92" s="4"/>
      <x:c r="E92" s="3"/>
      <x:c r="F92" s="3"/>
      <x:c r="G92" s="3" t="s">
        <x:v>147</x:v>
      </x:c>
      <x:c r="H92" s="3"/>
    </x:row>
    <x:row r="93">
      <x:c r="A93" s="8"/>
      <x:c r="B93" s="3"/>
      <x:c r="C93" s="3"/>
      <x:c r="D93" s="4"/>
      <x:c r="E93" s="3"/>
      <x:c r="F93" s="3"/>
      <x:c r="G93" s="3" t="s">
        <x:v>147</x:v>
      </x:c>
      <x:c r="H93" s="3"/>
    </x:row>
    <x:row r="94">
      <x:c r="A94" s="8"/>
      <x:c r="B94" s="3"/>
      <x:c r="C94" s="3"/>
      <x:c r="D94" s="4"/>
      <x:c r="E94" s="3"/>
      <x:c r="F94" s="3"/>
      <x:c r="G94" s="3" t="s">
        <x:v>147</x:v>
      </x:c>
      <x:c r="H94" s="3"/>
    </x:row>
    <x:row r="95">
      <x:c r="A95" s="8"/>
      <x:c r="B95" s="3"/>
      <x:c r="C95" s="3"/>
      <x:c r="D95" s="4"/>
      <x:c r="E95" s="3"/>
      <x:c r="F95" s="3"/>
      <x:c r="G95" s="3" t="s">
        <x:v>147</x:v>
      </x:c>
      <x:c r="H95" s="3"/>
    </x:row>
    <x:row r="96">
      <x:c r="A96" s="8"/>
      <x:c r="B96" s="3"/>
      <x:c r="C96" s="3"/>
      <x:c r="D96" s="4"/>
      <x:c r="E96" s="3"/>
      <x:c r="F96" s="3"/>
      <x:c r="G96" s="3" t="s">
        <x:v>147</x:v>
      </x:c>
      <x:c r="H96" s="3"/>
    </x:row>
    <x:row r="97">
      <x:c r="A97" s="8"/>
      <x:c r="B97" s="3"/>
      <x:c r="C97" s="3"/>
      <x:c r="D97" s="4"/>
      <x:c r="E97" s="3"/>
      <x:c r="F97" s="3"/>
      <x:c r="G97" s="3" t="s">
        <x:v>147</x:v>
      </x:c>
      <x:c r="H97" s="3"/>
    </x:row>
    <x:row r="98">
      <x:c r="A98" s="8"/>
      <x:c r="B98" s="3"/>
      <x:c r="C98" s="3"/>
      <x:c r="D98" s="4"/>
      <x:c r="E98" s="3"/>
      <x:c r="F98" s="3"/>
      <x:c r="G98" s="3" t="s">
        <x:v>147</x:v>
      </x:c>
      <x:c r="H98" s="3"/>
    </x:row>
    <x:row r="99">
      <x:c r="A99" s="8"/>
      <x:c r="B99" s="3"/>
      <x:c r="C99" s="3"/>
      <x:c r="D99" s="4"/>
      <x:c r="E99" s="3"/>
      <x:c r="F99" s="3"/>
      <x:c r="G99" s="3" t="s">
        <x:v>147</x:v>
      </x:c>
      <x:c r="H99" s="3"/>
    </x:row>
    <x:row r="100">
      <x:c r="A100" s="8"/>
      <x:c r="B100" s="3"/>
      <x:c r="C100" s="3"/>
      <x:c r="D100" s="4"/>
      <x:c r="E100" s="3"/>
      <x:c r="F100" s="3"/>
      <x:c r="G100" s="3" t="s">
        <x:v>147</x:v>
      </x:c>
      <x:c r="H100" s="3"/>
    </x:row>
    <x:row r="101">
      <x:c r="A101" s="8"/>
      <x:c r="B101" s="3"/>
      <x:c r="C101" s="3"/>
      <x:c r="D101" s="4"/>
      <x:c r="E101" s="3"/>
      <x:c r="F101" s="3"/>
      <x:c r="G101" s="3" t="s">
        <x:v>147</x:v>
      </x:c>
      <x:c r="H101" s="3"/>
    </x:row>
    <x:row r="102">
      <x:c r="A102" s="8"/>
      <x:c r="B102" s="3"/>
      <x:c r="C102" s="3"/>
      <x:c r="D102" s="4"/>
      <x:c r="E102" s="3"/>
      <x:c r="F102" s="3"/>
      <x:c r="G102" s="3" t="s">
        <x:v>147</x:v>
      </x:c>
      <x:c r="H102" s="3"/>
    </x:row>
    <x:row r="103">
      <x:c r="A103" s="8"/>
      <x:c r="B103" s="3"/>
      <x:c r="C103" s="3"/>
      <x:c r="D103" s="4"/>
      <x:c r="E103" s="3"/>
      <x:c r="F103" s="3"/>
      <x:c r="G103" s="3" t="s">
        <x:v>147</x:v>
      </x:c>
      <x:c r="H103" s="3"/>
    </x:row>
    <x:row r="104">
      <x:c r="A104" s="8"/>
      <x:c r="B104" s="3"/>
      <x:c r="C104" s="3"/>
      <x:c r="D104" s="4"/>
      <x:c r="E104" s="3"/>
      <x:c r="F104" s="3"/>
      <x:c r="G104" s="3" t="s">
        <x:v>147</x:v>
      </x:c>
      <x:c r="H104" s="3"/>
    </x:row>
    <x:row r="105">
      <x:c r="A105" s="8"/>
      <x:c r="B105" s="3"/>
      <x:c r="C105" s="3"/>
      <x:c r="D105" s="4"/>
      <x:c r="E105" s="3"/>
      <x:c r="F105" s="3"/>
      <x:c r="G105" s="3" t="s">
        <x:v>147</x:v>
      </x:c>
      <x:c r="H105" s="3"/>
    </x:row>
    <x:row r="106">
      <x:c r="A106" s="8"/>
      <x:c r="B106" s="3"/>
      <x:c r="C106" s="3"/>
      <x:c r="D106" s="4"/>
      <x:c r="E106" s="3"/>
      <x:c r="F106" s="3"/>
      <x:c r="G106" s="3" t="s">
        <x:v>147</x:v>
      </x:c>
      <x:c r="H106" s="3"/>
    </x:row>
    <x:row r="107">
      <x:c r="A107" s="8"/>
      <x:c r="B107" s="3"/>
      <x:c r="C107" s="3"/>
      <x:c r="D107" s="4"/>
      <x:c r="E107" s="3"/>
      <x:c r="F107" s="3"/>
      <x:c r="G107" s="3" t="s">
        <x:v>147</x:v>
      </x:c>
      <x:c r="H107" s="3"/>
    </x:row>
    <x:row r="108">
      <x:c r="A108" s="8"/>
      <x:c r="B108" s="3"/>
      <x:c r="C108" s="3"/>
      <x:c r="D108" s="4"/>
      <x:c r="E108" s="3"/>
      <x:c r="F108" s="3"/>
      <x:c r="G108" s="3" t="s">
        <x:v>147</x:v>
      </x:c>
      <x:c r="H108" s="3"/>
    </x:row>
    <x:row r="109">
      <x:c r="A109" s="8"/>
      <x:c r="B109" s="3"/>
      <x:c r="C109" s="3"/>
      <x:c r="D109" s="4"/>
      <x:c r="E109" s="3"/>
      <x:c r="F109" s="3"/>
      <x:c r="G109" s="3" t="s">
        <x:v>147</x:v>
      </x:c>
      <x:c r="H109" s="3"/>
    </x:row>
    <x:row r="110">
      <x:c r="A110" s="8"/>
      <x:c r="B110" s="3"/>
      <x:c r="C110" s="3"/>
      <x:c r="D110" s="4"/>
      <x:c r="E110" s="3"/>
      <x:c r="F110" s="3"/>
      <x:c r="G110" s="3" t="s">
        <x:v>147</x:v>
      </x:c>
      <x:c r="H110" s="3"/>
    </x:row>
    <x:row r="111">
      <x:c r="A111" s="8"/>
      <x:c r="B111" s="3"/>
      <x:c r="C111" s="3"/>
      <x:c r="D111" s="4"/>
      <x:c r="E111" s="3"/>
      <x:c r="F111" s="3"/>
      <x:c r="G111" s="3" t="s">
        <x:v>147</x:v>
      </x:c>
      <x:c r="H111" s="3"/>
    </x:row>
    <x:row r="112">
      <x:c r="A112" s="8"/>
      <x:c r="B112" s="3"/>
      <x:c r="C112" s="3"/>
      <x:c r="D112" s="4"/>
      <x:c r="E112" s="3"/>
      <x:c r="F112" s="3"/>
      <x:c r="G112" s="3" t="s">
        <x:v>147</x:v>
      </x:c>
      <x:c r="H112" s="3"/>
    </x:row>
    <x:row r="113">
      <x:c r="A113" s="8"/>
      <x:c r="B113" s="3"/>
      <x:c r="C113" s="3"/>
      <x:c r="D113" s="4"/>
      <x:c r="E113" s="3"/>
      <x:c r="F113" s="3"/>
      <x:c r="G113" s="3" t="s">
        <x:v>147</x:v>
      </x:c>
      <x:c r="H113" s="3"/>
    </x:row>
    <x:row r="114">
      <x:c r="A114" s="8"/>
      <x:c r="B114" s="3"/>
      <x:c r="C114" s="3"/>
      <x:c r="D114" s="4"/>
      <x:c r="E114" s="3"/>
      <x:c r="F114" s="3"/>
      <x:c r="G114" s="3" t="s">
        <x:v>147</x:v>
      </x:c>
      <x:c r="H114" s="3"/>
    </x:row>
    <x:row r="115">
      <x:c r="A115" s="8"/>
      <x:c r="B115" s="3"/>
      <x:c r="C115" s="3"/>
      <x:c r="D115" s="4"/>
      <x:c r="E115" s="3"/>
      <x:c r="F115" s="3"/>
      <x:c r="G115" s="3" t="s">
        <x:v>147</x:v>
      </x:c>
      <x:c r="H115" s="3"/>
    </x:row>
    <x:row r="116">
      <x:c r="A116" s="8"/>
      <x:c r="B116" s="3"/>
      <x:c r="C116" s="3"/>
      <x:c r="D116" s="4"/>
      <x:c r="E116" s="3"/>
      <x:c r="F116" s="3"/>
      <x:c r="G116" s="3" t="s">
        <x:v>147</x:v>
      </x:c>
      <x:c r="H116" s="3"/>
    </x:row>
    <x:row r="117">
      <x:c r="A117" s="8"/>
      <x:c r="B117" s="3"/>
      <x:c r="C117" s="3"/>
      <x:c r="D117" s="4"/>
      <x:c r="E117" s="3"/>
      <x:c r="F117" s="3"/>
      <x:c r="G117" s="3" t="s">
        <x:v>147</x:v>
      </x:c>
      <x:c r="H117" s="3"/>
    </x:row>
    <x:row r="118">
      <x:c r="A118" s="8"/>
      <x:c r="B118" s="3"/>
      <x:c r="C118" s="3"/>
      <x:c r="D118" s="4"/>
      <x:c r="E118" s="3"/>
      <x:c r="F118" s="3"/>
      <x:c r="G118" s="3" t="s">
        <x:v>147</x:v>
      </x:c>
      <x:c r="H118" s="3"/>
    </x:row>
    <x:row r="119">
      <x:c r="A119" s="8"/>
      <x:c r="B119" s="3"/>
      <x:c r="C119" s="3"/>
      <x:c r="D119" s="4"/>
      <x:c r="E119" s="3"/>
      <x:c r="F119" s="3"/>
      <x:c r="G119" s="3" t="s">
        <x:v>147</x:v>
      </x:c>
      <x:c r="H119" s="3"/>
    </x:row>
    <x:row r="120">
      <x:c r="A120" s="8"/>
      <x:c r="B120" s="3"/>
      <x:c r="C120" s="3"/>
      <x:c r="D120" s="4"/>
      <x:c r="E120" s="3"/>
      <x:c r="F120" s="3"/>
      <x:c r="G120" s="3" t="s">
        <x:v>147</x:v>
      </x:c>
      <x:c r="H120" s="3"/>
    </x:row>
    <x:row r="121">
      <x:c r="A121" s="8"/>
      <x:c r="B121" s="3"/>
      <x:c r="C121" s="3"/>
      <x:c r="D121" s="4"/>
      <x:c r="E121" s="3"/>
      <x:c r="F121" s="3"/>
      <x:c r="G121" s="3" t="s">
        <x:v>147</x:v>
      </x:c>
      <x:c r="H121" s="3"/>
    </x:row>
    <x:row r="122">
      <x:c r="A122" s="8"/>
      <x:c r="B122" s="3"/>
      <x:c r="C122" s="3"/>
      <x:c r="D122" s="4"/>
      <x:c r="E122" s="3"/>
      <x:c r="F122" s="3"/>
      <x:c r="G122" s="3" t="s">
        <x:v>147</x:v>
      </x:c>
      <x:c r="H122" s="3"/>
    </x:row>
    <x:row r="123">
      <x:c r="A123" s="8"/>
      <x:c r="B123" s="3"/>
      <x:c r="C123" s="3"/>
      <x:c r="D123" s="4"/>
      <x:c r="E123" s="3"/>
      <x:c r="F123" s="3"/>
      <x:c r="G123" s="3" t="s">
        <x:v>147</x:v>
      </x:c>
      <x:c r="H123" s="3"/>
    </x:row>
    <x:row r="124">
      <x:c r="A124" s="8"/>
      <x:c r="B124" s="3"/>
      <x:c r="C124" s="3"/>
      <x:c r="D124" s="4"/>
      <x:c r="E124" s="3"/>
      <x:c r="F124" s="3"/>
      <x:c r="G124" s="3" t="s">
        <x:v>147</x:v>
      </x:c>
      <x:c r="H124" s="3"/>
    </x:row>
    <x:row r="125">
      <x:c r="A125" s="8"/>
      <x:c r="B125" s="3"/>
      <x:c r="C125" s="3"/>
      <x:c r="D125" s="4"/>
      <x:c r="E125" s="3"/>
      <x:c r="F125" s="3"/>
      <x:c r="G125" s="3" t="s">
        <x:v>147</x:v>
      </x:c>
      <x:c r="H125" s="3"/>
    </x:row>
    <x:row r="126">
      <x:c r="A126" s="8"/>
      <x:c r="B126" s="3"/>
      <x:c r="C126" s="3"/>
      <x:c r="D126" s="4"/>
      <x:c r="E126" s="3"/>
      <x:c r="F126" s="3"/>
      <x:c r="G126" s="3" t="s">
        <x:v>147</x:v>
      </x:c>
      <x:c r="H126" s="3"/>
    </x:row>
    <x:row r="127">
      <x:c r="A127" s="8"/>
      <x:c r="B127" s="3"/>
      <x:c r="C127" s="3"/>
      <x:c r="D127" s="4"/>
      <x:c r="E127" s="3"/>
      <x:c r="F127" s="3"/>
      <x:c r="G127" s="3" t="s">
        <x:v>147</x:v>
      </x:c>
      <x:c r="H127" s="3"/>
    </x:row>
    <x:row r="128">
      <x:c r="A128" s="8"/>
      <x:c r="B128" s="3"/>
      <x:c r="C128" s="3"/>
      <x:c r="D128" s="4"/>
      <x:c r="E128" s="3"/>
      <x:c r="F128" s="3"/>
      <x:c r="G128" s="3" t="s">
        <x:v>147</x:v>
      </x:c>
      <x:c r="H128" s="3"/>
    </x:row>
    <x:row r="129">
      <x:c r="A129" s="8"/>
      <x:c r="B129" s="3"/>
      <x:c r="C129" s="3"/>
      <x:c r="D129" s="4"/>
      <x:c r="E129" s="3"/>
      <x:c r="F129" s="3"/>
      <x:c r="G129" s="3" t="s">
        <x:v>147</x:v>
      </x:c>
      <x:c r="H129" s="3"/>
    </x:row>
    <x:row r="130">
      <x:c r="A130" s="8"/>
      <x:c r="B130" s="3"/>
      <x:c r="C130" s="3"/>
      <x:c r="D130" s="4"/>
      <x:c r="E130" s="3"/>
      <x:c r="F130" s="3"/>
      <x:c r="G130" s="3" t="s">
        <x:v>147</x:v>
      </x:c>
      <x:c r="H130" s="3"/>
    </x:row>
    <x:row r="131">
      <x:c r="A131" s="8"/>
      <x:c r="B131" s="3"/>
      <x:c r="C131" s="3"/>
      <x:c r="D131" s="4"/>
      <x:c r="E131" s="3"/>
      <x:c r="F131" s="3"/>
      <x:c r="G131" s="3" t="s">
        <x:v>147</x:v>
      </x:c>
      <x:c r="H131" s="3"/>
    </x:row>
    <x:row r="132">
      <x:c r="A132" s="8"/>
      <x:c r="B132" s="3"/>
      <x:c r="C132" s="3"/>
      <x:c r="D132" s="4"/>
      <x:c r="E132" s="3"/>
      <x:c r="F132" s="3"/>
      <x:c r="G132" s="3" t="s">
        <x:v>147</x:v>
      </x:c>
      <x:c r="H132" s="3"/>
    </x:row>
    <x:row r="133">
      <x:c r="A133" s="8"/>
      <x:c r="B133" s="3"/>
      <x:c r="C133" s="3"/>
      <x:c r="D133" s="4"/>
      <x:c r="E133" s="3"/>
      <x:c r="F133" s="3"/>
      <x:c r="G133" s="3" t="s">
        <x:v>147</x:v>
      </x:c>
      <x:c r="H133" s="3"/>
    </x:row>
    <x:row r="134">
      <x:c r="A134" s="8"/>
      <x:c r="B134" s="3"/>
      <x:c r="C134" s="3"/>
      <x:c r="D134" s="4"/>
      <x:c r="E134" s="3"/>
      <x:c r="F134" s="3"/>
      <x:c r="G134" s="3" t="s">
        <x:v>147</x:v>
      </x:c>
      <x:c r="H134" s="3"/>
    </x:row>
    <x:row r="135">
      <x:c r="A135" s="8"/>
      <x:c r="B135" s="3"/>
      <x:c r="C135" s="3"/>
      <x:c r="D135" s="4"/>
      <x:c r="E135" s="3"/>
      <x:c r="F135" s="3"/>
      <x:c r="G135" s="3" t="s">
        <x:v>147</x:v>
      </x:c>
      <x:c r="H135" s="3"/>
    </x:row>
    <x:row r="136">
      <x:c r="A136" s="8"/>
      <x:c r="B136" s="3"/>
      <x:c r="C136" s="3"/>
      <x:c r="D136" s="4"/>
      <x:c r="E136" s="3"/>
      <x:c r="F136" s="3"/>
      <x:c r="G136" s="3" t="s">
        <x:v>147</x:v>
      </x:c>
      <x:c r="H136" s="3"/>
    </x:row>
    <x:row r="137">
      <x:c r="A137" s="8"/>
      <x:c r="B137" s="3"/>
      <x:c r="C137" s="3"/>
      <x:c r="D137" s="4"/>
      <x:c r="E137" s="3"/>
      <x:c r="F137" s="3"/>
      <x:c r="G137" s="3" t="s">
        <x:v>147</x:v>
      </x:c>
      <x:c r="H137" s="3"/>
    </x:row>
    <x:row r="138">
      <x:c r="A138" s="8"/>
      <x:c r="B138" s="3"/>
      <x:c r="C138" s="3"/>
      <x:c r="D138" s="4"/>
      <x:c r="E138" s="3"/>
      <x:c r="F138" s="3"/>
      <x:c r="G138" s="3" t="s">
        <x:v>147</x:v>
      </x:c>
      <x:c r="H138" s="3"/>
    </x:row>
    <x:row r="139">
      <x:c r="A139" s="8"/>
      <x:c r="B139" s="3"/>
      <x:c r="C139" s="3"/>
      <x:c r="D139" s="4"/>
      <x:c r="E139" s="3"/>
      <x:c r="F139" s="3"/>
      <x:c r="G139" s="3" t="s">
        <x:v>147</x:v>
      </x:c>
      <x:c r="H139" s="3"/>
    </x:row>
    <x:row r="140">
      <x:c r="A140" s="8"/>
      <x:c r="B140" s="3"/>
      <x:c r="C140" s="3"/>
      <x:c r="D140" s="4"/>
      <x:c r="E140" s="3"/>
      <x:c r="F140" s="3"/>
      <x:c r="G140" s="3" t="s">
        <x:v>147</x:v>
      </x:c>
      <x:c r="H140" s="3"/>
    </x:row>
    <x:row r="141">
      <x:c r="A141" s="8"/>
      <x:c r="B141" s="3"/>
      <x:c r="C141" s="3"/>
      <x:c r="D141" s="4"/>
      <x:c r="E141" s="3"/>
      <x:c r="F141" s="3"/>
      <x:c r="G141" s="3" t="s">
        <x:v>147</x:v>
      </x:c>
      <x:c r="H141" s="3"/>
    </x:row>
    <x:row r="142">
      <x:c r="A142" s="8"/>
      <x:c r="B142" s="3"/>
      <x:c r="C142" s="3"/>
      <x:c r="D142" s="4"/>
      <x:c r="E142" s="3"/>
      <x:c r="F142" s="3"/>
      <x:c r="G142" s="3" t="s">
        <x:v>147</x:v>
      </x:c>
      <x:c r="H142" s="3"/>
    </x:row>
    <x:row r="143">
      <x:c r="A143" s="8"/>
      <x:c r="B143" s="3"/>
      <x:c r="C143" s="3"/>
      <x:c r="D143" s="4"/>
      <x:c r="E143" s="3"/>
      <x:c r="F143" s="3"/>
      <x:c r="G143" s="3" t="s">
        <x:v>147</x:v>
      </x:c>
      <x:c r="H143" s="3"/>
    </x:row>
    <x:row r="144">
      <x:c r="A144" s="8"/>
      <x:c r="B144" s="3"/>
      <x:c r="C144" s="3"/>
      <x:c r="D144" s="4"/>
      <x:c r="E144" s="3"/>
      <x:c r="F144" s="3"/>
      <x:c r="G144" s="3" t="s">
        <x:v>147</x:v>
      </x:c>
      <x:c r="H144" s="3"/>
    </x:row>
    <x:row r="145">
      <x:c r="A145" s="8"/>
      <x:c r="B145" s="3"/>
      <x:c r="C145" s="3"/>
      <x:c r="D145" s="4"/>
      <x:c r="E145" s="3"/>
      <x:c r="F145" s="3"/>
      <x:c r="G145" s="3" t="s">
        <x:v>147</x:v>
      </x:c>
      <x:c r="H145" s="3"/>
    </x:row>
    <x:row r="146">
      <x:c r="A146" s="8"/>
      <x:c r="B146" s="3"/>
      <x:c r="C146" s="3"/>
      <x:c r="D146" s="4"/>
      <x:c r="E146" s="3"/>
      <x:c r="F146" s="3"/>
      <x:c r="G146" s="3" t="s">
        <x:v>147</x:v>
      </x:c>
      <x:c r="H146" s="3"/>
    </x:row>
    <x:row r="147">
      <x:c r="A147" s="8"/>
      <x:c r="B147" s="3"/>
      <x:c r="C147" s="3"/>
      <x:c r="D147" s="4"/>
      <x:c r="E147" s="3"/>
      <x:c r="F147" s="3"/>
      <x:c r="G147" s="3" t="s">
        <x:v>147</x:v>
      </x:c>
      <x:c r="H147" s="3"/>
    </x:row>
    <x:row r="148">
      <x:c r="A148" s="8"/>
      <x:c r="B148" s="3"/>
      <x:c r="C148" s="3"/>
      <x:c r="D148" s="4"/>
      <x:c r="E148" s="3"/>
      <x:c r="F148" s="3"/>
      <x:c r="G148" s="3" t="s">
        <x:v>147</x:v>
      </x:c>
      <x:c r="H148" s="3"/>
    </x:row>
    <x:row r="149">
      <x:c r="A149" s="8"/>
      <x:c r="B149" s="3"/>
      <x:c r="C149" s="3"/>
      <x:c r="D149" s="4"/>
      <x:c r="E149" s="3"/>
      <x:c r="F149" s="3"/>
      <x:c r="G149" s="3" t="s">
        <x:v>147</x:v>
      </x:c>
      <x:c r="H149" s="3"/>
    </x:row>
    <x:row r="150">
      <x:c r="A150" s="8"/>
      <x:c r="B150" s="3"/>
      <x:c r="C150" s="3"/>
      <x:c r="D150" s="4"/>
      <x:c r="E150" s="3"/>
      <x:c r="F150" s="3"/>
      <x:c r="G150" s="3" t="s">
        <x:v>147</x:v>
      </x:c>
      <x:c r="H150" s="3"/>
    </x:row>
    <x:row r="151">
      <x:c r="A151" s="8"/>
      <x:c r="B151" s="3"/>
      <x:c r="C151" s="3"/>
      <x:c r="D151" s="4"/>
      <x:c r="E151" s="3"/>
      <x:c r="F151" s="3"/>
      <x:c r="G151" s="3" t="s">
        <x:v>147</x:v>
      </x:c>
      <x:c r="H151" s="3"/>
    </x:row>
    <x:row r="152">
      <x:c r="A152" s="8"/>
      <x:c r="B152" s="3"/>
      <x:c r="C152" s="3"/>
      <x:c r="D152" s="4"/>
      <x:c r="E152" s="3"/>
      <x:c r="F152" s="3"/>
      <x:c r="G152" s="3" t="s">
        <x:v>147</x:v>
      </x:c>
      <x:c r="H152" s="3"/>
    </x:row>
    <x:row r="153">
      <x:c r="A153" s="8"/>
      <x:c r="B153" s="3"/>
      <x:c r="C153" s="3"/>
      <x:c r="D153" s="4"/>
      <x:c r="E153" s="3"/>
      <x:c r="F153" s="3"/>
      <x:c r="G153" s="3" t="s">
        <x:v>147</x:v>
      </x:c>
      <x:c r="H153" s="3"/>
    </x:row>
    <x:row r="154">
      <x:c r="A154" s="8"/>
      <x:c r="B154" s="3"/>
      <x:c r="C154" s="3"/>
      <x:c r="D154" s="4"/>
      <x:c r="E154" s="3"/>
      <x:c r="F154" s="3"/>
      <x:c r="G154" s="3" t="s">
        <x:v>147</x:v>
      </x:c>
      <x:c r="H154" s="3"/>
    </x:row>
    <x:row r="155">
      <x:c r="A155" s="8"/>
      <x:c r="B155" s="3"/>
      <x:c r="C155" s="3"/>
      <x:c r="D155" s="4"/>
      <x:c r="E155" s="3"/>
      <x:c r="F155" s="3"/>
      <x:c r="G155" s="3" t="s">
        <x:v>147</x:v>
      </x:c>
      <x:c r="H155" s="3"/>
    </x:row>
    <x:row r="156">
      <x:c r="A156" s="8"/>
      <x:c r="B156" s="3"/>
      <x:c r="C156" s="3"/>
      <x:c r="D156" s="4"/>
      <x:c r="E156" s="3"/>
      <x:c r="F156" s="3"/>
      <x:c r="G156" s="3" t="s">
        <x:v>147</x:v>
      </x:c>
      <x:c r="H156" s="3"/>
    </x:row>
    <x:row r="157">
      <x:c r="A157" s="8"/>
      <x:c r="B157" s="3"/>
      <x:c r="C157" s="3"/>
      <x:c r="D157" s="4"/>
      <x:c r="E157" s="3"/>
      <x:c r="F157" s="3"/>
      <x:c r="G157" s="3" t="s">
        <x:v>147</x:v>
      </x:c>
      <x:c r="H157" s="3"/>
    </x:row>
    <x:row r="158">
      <x:c r="A158" s="8"/>
      <x:c r="B158" s="3"/>
      <x:c r="C158" s="3"/>
      <x:c r="D158" s="4"/>
      <x:c r="E158" s="3"/>
      <x:c r="F158" s="3"/>
      <x:c r="G158" s="3" t="s">
        <x:v>147</x:v>
      </x:c>
      <x:c r="H158" s="3"/>
    </x:row>
    <x:row r="159">
      <x:c r="A159" s="8"/>
      <x:c r="B159" s="3"/>
      <x:c r="C159" s="3"/>
      <x:c r="D159" s="4"/>
      <x:c r="E159" s="3"/>
      <x:c r="F159" s="3"/>
      <x:c r="G159" s="3" t="s">
        <x:v>147</x:v>
      </x:c>
      <x:c r="H159" s="3"/>
    </x:row>
    <x:row r="160">
      <x:c r="A160" s="8"/>
      <x:c r="B160" s="3"/>
      <x:c r="C160" s="3"/>
      <x:c r="D160" s="4"/>
      <x:c r="E160" s="3"/>
      <x:c r="F160" s="3"/>
      <x:c r="G160" s="3" t="s">
        <x:v>147</x:v>
      </x:c>
      <x:c r="H160" s="3"/>
    </x:row>
    <x:row r="161">
      <x:c r="A161" s="8"/>
      <x:c r="B161" s="3"/>
      <x:c r="C161" s="3"/>
      <x:c r="D161" s="4"/>
      <x:c r="E161" s="3"/>
      <x:c r="F161" s="3"/>
      <x:c r="G161" s="3" t="s">
        <x:v>147</x:v>
      </x:c>
      <x:c r="H161" s="3"/>
    </x:row>
    <x:row r="162">
      <x:c r="A162" s="8"/>
      <x:c r="B162" s="3"/>
      <x:c r="C162" s="3"/>
      <x:c r="D162" s="4"/>
      <x:c r="E162" s="3"/>
      <x:c r="F162" s="3"/>
      <x:c r="G162" s="3" t="s">
        <x:v>147</x:v>
      </x:c>
      <x:c r="H162" s="3"/>
    </x:row>
    <x:row r="163">
      <x:c r="A163" s="8"/>
      <x:c r="B163" s="3"/>
      <x:c r="C163" s="3"/>
      <x:c r="D163" s="4"/>
      <x:c r="E163" s="3"/>
      <x:c r="F163" s="3"/>
      <x:c r="G163" s="3" t="s">
        <x:v>147</x:v>
      </x:c>
      <x:c r="H163" s="3"/>
    </x:row>
    <x:row r="164">
      <x:c r="A164" s="8"/>
      <x:c r="B164" s="3"/>
      <x:c r="C164" s="3"/>
      <x:c r="D164" s="4"/>
      <x:c r="E164" s="3"/>
      <x:c r="F164" s="3"/>
      <x:c r="G164" s="3" t="s">
        <x:v>147</x:v>
      </x:c>
      <x:c r="H164" s="3"/>
    </x:row>
    <x:row r="165">
      <x:c r="A165" s="8"/>
      <x:c r="B165" s="3"/>
      <x:c r="C165" s="3"/>
      <x:c r="D165" s="4"/>
      <x:c r="E165" s="3"/>
      <x:c r="F165" s="3"/>
      <x:c r="G165" s="3" t="s">
        <x:v>147</x:v>
      </x:c>
      <x:c r="H165" s="3"/>
    </x:row>
    <x:row r="166">
      <x:c r="A166" s="8"/>
      <x:c r="B166" s="3"/>
      <x:c r="C166" s="3"/>
      <x:c r="D166" s="4"/>
      <x:c r="E166" s="3"/>
      <x:c r="F166" s="3"/>
      <x:c r="G166" s="3" t="s">
        <x:v>147</x:v>
      </x:c>
      <x:c r="H166" s="3"/>
    </x:row>
    <x:row r="167">
      <x:c r="A167" s="8"/>
      <x:c r="B167" s="3"/>
      <x:c r="C167" s="3"/>
      <x:c r="D167" s="4"/>
      <x:c r="E167" s="3"/>
      <x:c r="F167" s="3"/>
      <x:c r="G167" s="3" t="s">
        <x:v>147</x:v>
      </x:c>
      <x:c r="H167" s="3"/>
    </x:row>
    <x:row r="168">
      <x:c r="A168" s="8"/>
      <x:c r="B168" s="3"/>
      <x:c r="C168" s="3"/>
      <x:c r="D168" s="4"/>
      <x:c r="E168" s="3"/>
      <x:c r="F168" s="3"/>
      <x:c r="G168" s="3" t="s">
        <x:v>147</x:v>
      </x:c>
      <x:c r="H168" s="3"/>
    </x:row>
    <x:row r="169">
      <x:c r="A169" s="8"/>
      <x:c r="B169" s="3"/>
      <x:c r="C169" s="3"/>
      <x:c r="D169" s="4"/>
      <x:c r="E169" s="3"/>
      <x:c r="F169" s="3"/>
      <x:c r="G169" s="3" t="s">
        <x:v>147</x:v>
      </x:c>
      <x:c r="H169" s="3"/>
    </x:row>
    <x:row r="170">
      <x:c r="A170" s="8"/>
      <x:c r="B170" s="3"/>
      <x:c r="C170" s="3"/>
      <x:c r="D170" s="4"/>
      <x:c r="E170" s="3"/>
      <x:c r="F170" s="3"/>
      <x:c r="G170" s="3" t="s">
        <x:v>147</x:v>
      </x:c>
      <x:c r="H170" s="3"/>
    </x:row>
    <x:row r="171">
      <x:c r="A171" s="8"/>
      <x:c r="B171" s="3"/>
      <x:c r="C171" s="3"/>
      <x:c r="D171" s="4"/>
      <x:c r="E171" s="3"/>
      <x:c r="F171" s="3"/>
      <x:c r="G171" s="3" t="s">
        <x:v>147</x:v>
      </x:c>
      <x:c r="H171" s="3"/>
    </x:row>
    <x:row r="172">
      <x:c r="A172" s="8"/>
      <x:c r="B172" s="3"/>
      <x:c r="C172" s="3"/>
      <x:c r="D172" s="4"/>
      <x:c r="E172" s="3"/>
      <x:c r="F172" s="3"/>
      <x:c r="G172" s="3" t="s">
        <x:v>147</x:v>
      </x:c>
      <x:c r="H172" s="3"/>
    </x:row>
    <x:row r="173">
      <x:c r="A173" s="8"/>
      <x:c r="B173" s="3"/>
      <x:c r="C173" s="3"/>
      <x:c r="D173" s="4"/>
      <x:c r="E173" s="3"/>
      <x:c r="F173" s="3"/>
      <x:c r="G173" s="3" t="s">
        <x:v>147</x:v>
      </x:c>
      <x:c r="H173" s="3"/>
    </x:row>
    <x:row r="174">
      <x:c r="A174" s="8"/>
      <x:c r="B174" s="3"/>
      <x:c r="C174" s="3"/>
      <x:c r="D174" s="4"/>
      <x:c r="E174" s="3"/>
      <x:c r="F174" s="3"/>
      <x:c r="G174" s="3" t="s">
        <x:v>147</x:v>
      </x:c>
      <x:c r="H174" s="3"/>
    </x:row>
    <x:row r="175">
      <x:c r="A175" s="8"/>
      <x:c r="B175" s="3"/>
      <x:c r="C175" s="3"/>
      <x:c r="D175" s="4"/>
      <x:c r="E175" s="3"/>
      <x:c r="F175" s="3"/>
      <x:c r="G175" s="3" t="s">
        <x:v>147</x:v>
      </x:c>
      <x:c r="H175" s="3"/>
    </x:row>
    <x:row r="176">
      <x:c r="A176" s="8"/>
      <x:c r="B176" s="3"/>
      <x:c r="C176" s="3"/>
      <x:c r="D176" s="4"/>
      <x:c r="E176" s="3"/>
      <x:c r="F176" s="3"/>
      <x:c r="G176" s="3" t="s">
        <x:v>147</x:v>
      </x:c>
      <x:c r="H176" s="3"/>
    </x:row>
    <x:row r="177">
      <x:c r="A177" s="8"/>
      <x:c r="B177" s="3"/>
      <x:c r="C177" s="3"/>
      <x:c r="D177" s="4"/>
      <x:c r="E177" s="3"/>
      <x:c r="F177" s="3"/>
      <x:c r="G177" s="3" t="s">
        <x:v>147</x:v>
      </x:c>
      <x:c r="H177" s="3"/>
    </x:row>
    <x:row r="178">
      <x:c r="A178" s="8"/>
      <x:c r="B178" s="3"/>
      <x:c r="C178" s="3"/>
      <x:c r="D178" s="4"/>
      <x:c r="E178" s="3"/>
      <x:c r="F178" s="3"/>
      <x:c r="G178" s="3" t="s">
        <x:v>147</x:v>
      </x:c>
      <x:c r="H178" s="3"/>
    </x:row>
    <x:row r="179">
      <x:c r="A179" s="8"/>
      <x:c r="B179" s="3"/>
      <x:c r="C179" s="3"/>
      <x:c r="D179" s="4"/>
      <x:c r="E179" s="3"/>
      <x:c r="F179" s="3"/>
      <x:c r="G179" s="3" t="s">
        <x:v>147</x:v>
      </x:c>
      <x:c r="H179" s="3"/>
    </x:row>
    <x:row r="180">
      <x:c r="A180" s="8"/>
      <x:c r="B180" s="3"/>
      <x:c r="C180" s="3"/>
      <x:c r="D180" s="4"/>
      <x:c r="E180" s="3"/>
      <x:c r="F180" s="3"/>
      <x:c r="G180" s="3" t="s">
        <x:v>147</x:v>
      </x:c>
      <x:c r="H180" s="3"/>
    </x:row>
    <x:row r="181">
      <x:c r="A181" s="8"/>
      <x:c r="B181" s="3"/>
      <x:c r="C181" s="3"/>
      <x:c r="D181" s="4"/>
      <x:c r="E181" s="3"/>
      <x:c r="F181" s="3"/>
      <x:c r="G181" s="3" t="s">
        <x:v>147</x:v>
      </x:c>
      <x:c r="H181" s="3"/>
    </x:row>
    <x:row r="182">
      <x:c r="A182" s="8"/>
      <x:c r="B182" s="3"/>
      <x:c r="C182" s="3"/>
      <x:c r="D182" s="4"/>
      <x:c r="E182" s="3"/>
      <x:c r="F182" s="3"/>
      <x:c r="G182" s="3" t="s">
        <x:v>147</x:v>
      </x:c>
      <x:c r="H182" s="3"/>
    </x:row>
    <x:row r="183">
      <x:c r="A183" s="8"/>
      <x:c r="B183" s="3"/>
      <x:c r="C183" s="3"/>
      <x:c r="D183" s="4"/>
      <x:c r="E183" s="3"/>
      <x:c r="F183" s="3"/>
      <x:c r="G183" s="3" t="s">
        <x:v>147</x:v>
      </x:c>
      <x:c r="H183" s="3"/>
    </x:row>
    <x:row r="184">
      <x:c r="A184" s="8"/>
      <x:c r="B184" s="3"/>
      <x:c r="C184" s="3"/>
      <x:c r="D184" s="4"/>
      <x:c r="E184" s="3"/>
      <x:c r="F184" s="3"/>
      <x:c r="G184" s="3" t="s">
        <x:v>147</x:v>
      </x:c>
      <x:c r="H184" s="3"/>
    </x:row>
    <x:row r="185">
      <x:c r="A185" s="8"/>
      <x:c r="B185" s="3"/>
      <x:c r="C185" s="3"/>
      <x:c r="D185" s="4"/>
      <x:c r="E185" s="3"/>
      <x:c r="F185" s="3"/>
      <x:c r="G185" s="3" t="s">
        <x:v>147</x:v>
      </x:c>
      <x:c r="H185" s="3"/>
    </x:row>
    <x:row r="186">
      <x:c r="A186" s="8"/>
      <x:c r="B186" s="3"/>
      <x:c r="C186" s="3"/>
      <x:c r="D186" s="4"/>
      <x:c r="E186" s="3"/>
      <x:c r="F186" s="3"/>
      <x:c r="G186" s="3" t="s">
        <x:v>147</x:v>
      </x:c>
      <x:c r="H186" s="3"/>
    </x:row>
    <x:row r="187">
      <x:c r="A187" s="8"/>
      <x:c r="B187" s="3"/>
      <x:c r="C187" s="3"/>
      <x:c r="D187" s="4"/>
      <x:c r="E187" s="3"/>
      <x:c r="F187" s="3"/>
      <x:c r="G187" s="3" t="s">
        <x:v>147</x:v>
      </x:c>
      <x:c r="H187" s="3"/>
    </x:row>
    <x:row r="188">
      <x:c r="A188" s="8"/>
      <x:c r="B188" s="3"/>
      <x:c r="C188" s="3"/>
      <x:c r="D188" s="4"/>
      <x:c r="E188" s="3"/>
      <x:c r="F188" s="3"/>
      <x:c r="G188" s="3" t="s">
        <x:v>147</x:v>
      </x:c>
      <x:c r="H188" s="3"/>
    </x:row>
    <x:row r="189">
      <x:c r="A189" s="8"/>
      <x:c r="B189" s="3"/>
      <x:c r="C189" s="3"/>
      <x:c r="D189" s="4"/>
      <x:c r="E189" s="3"/>
      <x:c r="F189" s="3"/>
      <x:c r="G189" s="3" t="s">
        <x:v>147</x:v>
      </x:c>
      <x:c r="H189" s="3"/>
    </x:row>
    <x:row r="190">
      <x:c r="A190" s="8"/>
      <x:c r="B190" s="3"/>
      <x:c r="C190" s="3"/>
      <x:c r="D190" s="4"/>
      <x:c r="E190" s="3"/>
      <x:c r="F190" s="3"/>
      <x:c r="G190" s="3" t="s">
        <x:v>147</x:v>
      </x:c>
      <x:c r="H190" s="3"/>
    </x:row>
    <x:row r="191">
      <x:c r="A191" s="8"/>
      <x:c r="B191" s="3"/>
      <x:c r="C191" s="3"/>
      <x:c r="D191" s="4"/>
      <x:c r="E191" s="3"/>
      <x:c r="F191" s="3"/>
      <x:c r="G191" s="3" t="s">
        <x:v>147</x:v>
      </x:c>
      <x:c r="H191" s="3"/>
    </x:row>
    <x:row r="192">
      <x:c r="A192" s="8"/>
      <x:c r="B192" s="3"/>
      <x:c r="C192" s="3"/>
      <x:c r="D192" s="4"/>
      <x:c r="E192" s="3"/>
      <x:c r="F192" s="3"/>
      <x:c r="G192" s="3" t="s">
        <x:v>147</x:v>
      </x:c>
      <x:c r="H192" s="3"/>
    </x:row>
    <x:row r="193">
      <x:c r="A193" s="8"/>
      <x:c r="B193" s="3"/>
      <x:c r="C193" s="3"/>
      <x:c r="D193" s="4"/>
      <x:c r="E193" s="3"/>
      <x:c r="F193" s="3"/>
      <x:c r="G193" s="3" t="s">
        <x:v>147</x:v>
      </x:c>
      <x:c r="H193" s="3"/>
    </x:row>
    <x:row r="194">
      <x:c r="A194" s="8"/>
      <x:c r="B194" s="3"/>
      <x:c r="C194" s="3"/>
      <x:c r="D194" s="4"/>
      <x:c r="E194" s="3"/>
      <x:c r="F194" s="3"/>
      <x:c r="G194" s="3" t="s">
        <x:v>147</x:v>
      </x:c>
      <x:c r="H194" s="3"/>
    </x:row>
    <x:row r="195">
      <x:c r="A195" s="8"/>
      <x:c r="B195" s="3"/>
      <x:c r="C195" s="3"/>
      <x:c r="D195" s="4"/>
      <x:c r="E195" s="3"/>
      <x:c r="F195" s="3"/>
      <x:c r="G195" s="3" t="s">
        <x:v>147</x:v>
      </x:c>
      <x:c r="H195" s="3"/>
    </x:row>
    <x:row r="196">
      <x:c r="A196" s="8"/>
      <x:c r="B196" s="3"/>
      <x:c r="C196" s="3"/>
      <x:c r="D196" s="4"/>
      <x:c r="E196" s="3"/>
      <x:c r="F196" s="3"/>
      <x:c r="G196" s="3" t="s">
        <x:v>147</x:v>
      </x:c>
      <x:c r="H196" s="3"/>
    </x:row>
    <x:row r="197">
      <x:c r="A197" s="8"/>
      <x:c r="B197" s="3"/>
      <x:c r="C197" s="3"/>
      <x:c r="D197" s="4"/>
      <x:c r="E197" s="3"/>
      <x:c r="F197" s="3"/>
      <x:c r="G197" s="3" t="s">
        <x:v>147</x:v>
      </x:c>
      <x:c r="H197" s="3"/>
    </x:row>
    <x:row r="198">
      <x:c r="A198" s="8"/>
      <x:c r="B198" s="3"/>
      <x:c r="C198" s="3"/>
      <x:c r="D198" s="4"/>
      <x:c r="E198" s="3"/>
      <x:c r="F198" s="3"/>
      <x:c r="G198" s="3" t="s">
        <x:v>147</x:v>
      </x:c>
      <x:c r="H198" s="3"/>
    </x:row>
    <x:row r="199">
      <x:c r="A199" s="8"/>
      <x:c r="B199" s="3"/>
      <x:c r="C199" s="3"/>
      <x:c r="D199" s="4"/>
      <x:c r="E199" s="3"/>
      <x:c r="F199" s="3"/>
      <x:c r="G199" s="3" t="s">
        <x:v>147</x:v>
      </x:c>
      <x:c r="H199" s="3"/>
    </x:row>
    <x:row r="200">
      <x:c r="A200" s="8"/>
      <x:c r="B200" s="3"/>
      <x:c r="C200" s="3"/>
      <x:c r="D200" s="4"/>
      <x:c r="E200" s="3"/>
      <x:c r="F200" s="3"/>
      <x:c r="G200" s="3" t="s">
        <x:v>147</x:v>
      </x:c>
      <x:c r="H200" s="3"/>
    </x:row>
    <x:row r="201">
      <x:c r="A201" s="8"/>
      <x:c r="B201" s="3"/>
      <x:c r="C201" s="3"/>
      <x:c r="D201" s="4"/>
      <x:c r="E201" s="3"/>
      <x:c r="F201" s="3"/>
      <x:c r="G201" s="3" t="s">
        <x:v>147</x:v>
      </x:c>
      <x:c r="H201" s="3"/>
    </x:row>
    <x:row r="202">
      <x:c r="A202" s="8"/>
      <x:c r="B202" s="3"/>
      <x:c r="C202" s="3"/>
      <x:c r="D202" s="4"/>
      <x:c r="E202" s="3"/>
      <x:c r="F202" s="3"/>
      <x:c r="G202" s="3" t="s">
        <x:v>147</x:v>
      </x:c>
      <x:c r="H202" s="3"/>
    </x:row>
    <x:row r="203">
      <x:c r="A203" s="8"/>
      <x:c r="B203" s="3"/>
      <x:c r="C203" s="3"/>
      <x:c r="D203" s="4"/>
      <x:c r="E203" s="3"/>
      <x:c r="F203" s="3"/>
      <x:c r="G203" s="3" t="s">
        <x:v>147</x:v>
      </x:c>
      <x:c r="H203" s="3"/>
    </x:row>
  </x:sheetData>
  <x:mergeCells>
    <x:mergeCell ref="A1:H1"/>
  </x:mergeCells>
  <x:conditionalFormatting sqref="G4:G203">
    <x:cfRule type="expression" dxfId="8" priority="1">
      <x:formula>G4="Sì"</x:formula>
    </x:cfRule>
    <x:cfRule type="expression" dxfId="7" priority="2">
      <x:formula>G4="No"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b002e42db17492a"/>
  </x:tableParts>
</x:worksheet>
</file>

<file path=xl/worksheets/sheet8.xml><?xml version="1.0" encoding="utf-8"?>
<x:worksheet xmlns:x="http://schemas.openxmlformats.org/spreadsheetml/2006/main">
  <x:sheetFormatPr baseColWidth="10" defaultColWidth="8.83203125" defaultRowHeight="15"/>
  <x:cols>
    <x:col min="1" max="1" width="24.6640625" style="1" customWidth="1"/>
    <x:col min="2" max="2" width="17.5" style="1" customWidth="1"/>
    <x:col min="3" max="3" width="13.6640625" style="1" customWidth="1"/>
    <x:col min="4" max="6" width="10" style="1" customWidth="1"/>
    <x:col min="7" max="7" width="8.83203125" style="1" customWidth="0"/>
    <x:col min="8" max="8" width="24" style="1" customWidth="1"/>
    <x:col min="9" max="10" width="14" style="1" customWidth="1"/>
    <x:col min="11" max="11" width="28" style="1" customWidth="1"/>
    <x:col min="12" max="16384" width="8.83203125" style="1" customWidth="0"/>
  </x:cols>
  <x:sheetData>
    <x:row r="1" ht="37.25" customHeight="1">
      <x:c r="A1" s="14" t="s">
        <x:v>170</x:v>
      </x:c>
      <x:c r="B1" s="15"/>
      <x:c r="C1" s="15"/>
      <x:c r="D1" s="15"/>
      <x:c r="E1" s="15"/>
      <x:c r="F1" s="15"/>
    </x:row>
    <x:row r="3" ht="32" customHeight="1">
      <x:c r="A3" s="20" t="s">
        <x:v>171</x:v>
      </x:c>
      <x:c r="B3" s="15"/>
      <x:c r="C3" s="15"/>
      <x:c r="D3" s="15"/>
      <x:c r="E3" s="15"/>
      <x:c r="F3" s="15"/>
      <x:c r="H3" s="20" t="s">
        <x:v>172</x:v>
      </x:c>
      <x:c r="I3" s="15"/>
      <x:c r="J3" s="15"/>
      <x:c r="K3" s="15"/>
    </x:row>
    <x:row r="4" ht="16">
      <x:c r="A4" s="6" t="s">
        <x:v>173</x:v>
      </x:c>
      <x:c r="B4" s="5" t="n">
        <x:f>Parametri!B4</x:f>
        <x:v>15</x:v>
      </x:c>
      <x:c r="C4" s="3" t="s">
        <x:v>73</x:v>
      </x:c>
      <x:c r="D4" s="3"/>
      <x:c r="E4" s="3"/>
      <x:c r="F4" s="3"/>
      <x:c r="H4" s="2" t="s">
        <x:v>165</x:v>
      </x:c>
      <x:c r="I4" s="2" t="s">
        <x:v>174</x:v>
      </x:c>
      <x:c r="J4" s="2" t="s">
        <x:v>175</x:v>
      </x:c>
      <x:c r="K4" s="2" t="s">
        <x:v>15</x:v>
      </x:c>
    </x:row>
    <x:row r="5">
      <x:c r="A5" s="6" t="s">
        <x:v>176</x:v>
      </x:c>
      <x:c r="B5" s="4" t="n">
        <x:f>SUM(Persone_Quote!C4:C18)</x:f>
        <x:v>375</x:v>
      </x:c>
      <x:c r="C5" s="3" t="s">
        <x:v>36</x:v>
      </x:c>
      <x:c r="D5" s="3"/>
      <x:c r="E5" s="3"/>
      <x:c r="F5" s="3"/>
      <x:c r="H5" s="3" t="s">
        <x:v>177</x:v>
      </x:c>
      <x:c r="I5" s="4" t="n">
        <x:f>SUMIFS(Spese_Categoria!$D$4:$D$203,Spese_Categoria!$B$4:$B$203,H5,Spese_Categoria!$G$4:$G$203,"Sì")</x:f>
        <x:v>0</x:v>
      </x:c>
      <x:c r="J5" s="9" t="n">
        <x:f t="shared" ref="J5:J10" si="0">IF($I$11&gt;0,I5/$I$11,0)</x:f>
        <x:v>0</x:v>
      </x:c>
      <x:c r="K5" s="3"/>
    </x:row>
    <x:row r="6">
      <x:c r="A6" s="6" t="s">
        <x:v>3</x:v>
      </x:c>
      <x:c r="B6" s="4" t="n">
        <x:f>SUM(Persone_Quote!D4:D18)</x:f>
        <x:v>375</x:v>
      </x:c>
      <x:c r="C6" s="3" t="s">
        <x:v>36</x:v>
      </x:c>
      <x:c r="D6" s="3"/>
      <x:c r="E6" s="3"/>
      <x:c r="F6" s="3"/>
      <x:c r="H6" s="3" t="s">
        <x:v>178</x:v>
      </x:c>
      <x:c r="I6" s="4" t="n">
        <x:f>SUMIFS(Spese_Categoria!$D$4:$D$203,Spese_Categoria!$B$4:$B$203,H6,Spese_Categoria!$G$4:$G$203,"Sì")</x:f>
        <x:v>0</x:v>
      </x:c>
      <x:c r="J6" s="9">
        <x:f t="shared" si="0"/>
        <x:v>0</x:v>
      </x:c>
      <x:c r="K6" s="3"/>
    </x:row>
    <x:row r="7">
      <x:c r="A7" s="6" t="s">
        <x:v>179</x:v>
      </x:c>
      <x:c r="B7" s="4" t="n">
        <x:f>MAX(B5-B6,0)</x:f>
        <x:v>0</x:v>
      </x:c>
      <x:c r="C7" s="3" t="s">
        <x:v>36</x:v>
      </x:c>
      <x:c r="D7" s="3"/>
      <x:c r="E7" s="3"/>
      <x:c r="F7" s="3"/>
      <x:c r="H7" s="3" t="s">
        <x:v>180</x:v>
      </x:c>
      <x:c r="I7" s="4" t="n">
        <x:f>SUMIFS(Spese_Categoria!$D$4:$D$203,Spese_Categoria!$B$4:$B$203,H7,Spese_Categoria!$G$4:$G$203,"Sì")</x:f>
        <x:v>0</x:v>
      </x:c>
      <x:c r="J7" s="9">
        <x:f t="shared" si="0"/>
        <x:v>0</x:v>
      </x:c>
      <x:c r="K7" s="3"/>
    </x:row>
    <x:row r="8">
      <x:c r="A8" s="6" t="s">
        <x:v>8</x:v>
      </x:c>
      <x:c r="B8" s="5" t="n">
        <x:f>COUNTIF(Persone_Quote!F4:F18,"Pagata")</x:f>
        <x:v>15</x:v>
      </x:c>
      <x:c r="C8" s="3" t="s">
        <x:v>73</x:v>
      </x:c>
      <x:c r="D8" s="3"/>
      <x:c r="E8" s="3"/>
      <x:c r="F8" s="3"/>
      <x:c r="H8" s="3" t="s">
        <x:v>181</x:v>
      </x:c>
      <x:c r="I8" s="4" t="n">
        <x:f>SUMIFS(Spese_Categoria!$D$4:$D$203,Spese_Categoria!$B$4:$B$203,H8,Spese_Categoria!$G$4:$G$203,"Sì")</x:f>
        <x:v>0</x:v>
      </x:c>
      <x:c r="J8" s="9">
        <x:f t="shared" si="0"/>
        <x:v>0</x:v>
      </x:c>
      <x:c r="K8" s="3"/>
    </x:row>
    <x:row r="9">
      <x:c r="A9" s="6" t="s">
        <x:v>20</x:v>
      </x:c>
      <x:c r="B9" s="5" t="n">
        <x:f>SUM(Acquisti_Patch!D4:D203)</x:f>
        <x:v>200</x:v>
      </x:c>
      <x:c r="C9" s="3" t="s">
        <x:v>21</x:v>
      </x:c>
      <x:c r="D9" s="3"/>
      <x:c r="E9" s="3"/>
      <x:c r="F9" s="3"/>
      <x:c r="H9" s="3" t="s">
        <x:v>167</x:v>
      </x:c>
      <x:c r="I9" s="4" t="n">
        <x:f>SUMIFS(Spese_Categoria!$D$4:$D$203,Spese_Categoria!$B$4:$B$203,H9,Spese_Categoria!$G$4:$G$203,"Sì")</x:f>
        <x:v>80</x:v>
      </x:c>
      <x:c r="J9" s="9">
        <x:f t="shared" si="0"/>
        <x:v>1</x:v>
      </x:c>
      <x:c r="K9" s="3"/>
    </x:row>
    <x:row r="10">
      <x:c r="A10" s="6" t="s">
        <x:v>26</x:v>
      </x:c>
      <x:c r="B10" s="4" t="n">
        <x:f>SUMIFS(Acquisti_Patch!F4:F203,Acquisti_Patch!H4:H203,"Pagato")+SUMIFS(Acquisti_Patch!F4:F203,Acquisti_Patch!H4:H203,"Parziale")</x:f>
        <x:v>540</x:v>
      </x:c>
      <x:c r="C10" s="3" t="s">
        <x:v>36</x:v>
      </x:c>
      <x:c r="D10" s="3"/>
      <x:c r="E10" s="3"/>
      <x:c r="F10" s="3"/>
      <x:c r="H10" s="3" t="s">
        <x:v>182</x:v>
      </x:c>
      <x:c r="I10" s="4" t="n">
        <x:f>SUMIFS(Spese_Categoria!$D$4:$D$203,Spese_Categoria!$B$4:$B$203,H10,Spese_Categoria!$G$4:$G$203,"Sì")</x:f>
        <x:v>0</x:v>
      </x:c>
      <x:c r="J10" s="9">
        <x:f t="shared" si="0"/>
        <x:v>0</x:v>
      </x:c>
      <x:c r="K10" s="3"/>
    </x:row>
    <x:row r="11">
      <x:c r="A11" s="6" t="s">
        <x:v>24</x:v>
      </x:c>
      <x:c r="B11" s="5" t="n">
        <x:f>SUM(Vendite_Patch!D4:D303)</x:f>
        <x:v>48</x:v>
      </x:c>
      <x:c r="C11" s="3" t="s">
        <x:v>21</x:v>
      </x:c>
      <x:c r="D11" s="3"/>
      <x:c r="E11" s="3"/>
      <x:c r="F11" s="3"/>
      <x:c r="H11" s="6" t="s">
        <x:v>174</x:v>
      </x:c>
      <x:c r="I11" s="7" t="n">
        <x:f>SUM(I5:I10)</x:f>
        <x:v>80</x:v>
      </x:c>
      <x:c r="J11" s="3"/>
      <x:c r="K11" s="3"/>
    </x:row>
    <x:row r="12">
      <x:c r="A12" s="6" t="s">
        <x:v>5</x:v>
      </x:c>
      <x:c r="B12" s="4" t="n">
        <x:f>SUMIFS(Vendite_Patch!F4:F303,Vendite_Patch!I4:I303,"Sì")</x:f>
        <x:v>278</x:v>
      </x:c>
      <x:c r="C12" s="3" t="s">
        <x:v>36</x:v>
      </x:c>
      <x:c r="D12" s="3"/>
      <x:c r="E12" s="3"/>
      <x:c r="F12" s="3"/>
    </x:row>
    <x:row r="13">
      <x:c r="A13" s="6" t="s">
        <x:v>183</x:v>
      </x:c>
      <x:c r="B13" s="4" t="n">
        <x:f>SUMIFS(Vendite_Patch!H4:H303,Vendite_Patch!I4:I303,"Sì")</x:f>
        <x:v>224.00000000000006</x:v>
      </x:c>
      <x:c r="C13" s="3" t="s">
        <x:v>36</x:v>
      </x:c>
      <x:c r="D13" s="3"/>
      <x:c r="E13" s="3"/>
      <x:c r="F13" s="3"/>
    </x:row>
    <x:row r="14">
      <x:c r="A14" s="6" t="s">
        <x:v>184</x:v>
      </x:c>
      <x:c r="B14" s="3" t="n">
        <x:f>B9-B11</x:f>
        <x:v>152</x:v>
      </x:c>
      <x:c r="C14" s="3" t="s">
        <x:v>21</x:v>
      </x:c>
      <x:c r="D14" s="3"/>
      <x:c r="E14" s="3"/>
      <x:c r="F14" s="3"/>
    </x:row>
    <x:row r="15">
      <x:c r="A15" s="6" t="s">
        <x:v>185</x:v>
      </x:c>
      <x:c r="B15" s="4" t="n">
        <x:f>SUMIFS(Spese_Categoria!D4:D203,Spese_Categoria!G4:G203,"Sì")</x:f>
        <x:v>80</x:v>
      </x:c>
      <x:c r="C15" s="3" t="s">
        <x:v>36</x:v>
      </x:c>
      <x:c r="D15" s="3"/>
      <x:c r="E15" s="3"/>
      <x:c r="F15" s="3"/>
    </x:row>
    <x:row r="16">
      <x:c r="A16" s="6" t="s">
        <x:v>33</x:v>
      </x:c>
      <x:c r="B16" s="4" t="n">
        <x:f>B6+B12+SUM(Persone_Quote!J4:J18)-B10-B15</x:f>
        <x:v>33</x:v>
      </x:c>
      <x:c r="C16" s="3" t="s">
        <x:v>36</x:v>
      </x:c>
      <x:c r="D16" s="3"/>
      <x:c r="E16" s="3"/>
      <x:c r="F16" s="3"/>
    </x:row>
    <x:row r="17">
      <x:c r="A17" s="6" t="s">
        <x:v>38</x:v>
      </x:c>
      <x:c r="B17" s="4" t="n">
        <x:f>SUMIFS(Vendite_Patch!$F$4:$F$303,Vendite_Patch!$I$4:$I$303,"Sì",Vendite_Patch!$E$4:$E$303,Parametri!$B$7)</x:f>
        <x:v>170</x:v>
      </x:c>
      <x:c r="C17" s="3" t="s">
        <x:v>36</x:v>
      </x:c>
    </x:row>
    <x:row r="18">
      <x:c r="A18" s="6" t="s">
        <x:v>42</x:v>
      </x:c>
      <x:c r="B18" s="4" t="n">
        <x:f>SUMIFS(Vendite_Patch!$F$4:$F$303,Vendite_Patch!$I$4:$I$303,"Sì",Vendite_Patch!$E$4:$E$303,Parametri!$B$8)</x:f>
        <x:v>108</x:v>
      </x:c>
      <x:c r="C18" s="3" t="s">
        <x:v>36</x:v>
      </x:c>
    </x:row>
    <x:row r="19" ht="29.25" customHeight="1">
      <x:c r="A19" s="20" t="s">
        <x:v>186</x:v>
      </x:c>
      <x:c r="B19" s="15"/>
      <x:c r="C19" s="15"/>
      <x:c r="D19" s="15"/>
      <x:c r="E19" s="15"/>
      <x:c r="F19" s="15"/>
    </x:row>
    <x:row r="20">
      <x:c r="A20" s="3" t="s">
        <x:v>187</x:v>
      </x:c>
      <x:c r="B20" s="3" t="str">
        <x:f>IF(B14&lt;0,"Sì: vendute più patch di quelle acquistate","No")</x:f>
        <x:v>No</x:v>
      </x:c>
      <x:c r="C20" s="3"/>
      <x:c r="D20" s="3"/>
      <x:c r="E20" s="3"/>
      <x:c r="F20" s="3"/>
    </x:row>
    <x:row r="21" ht="60">
      <x:c r="A21" s="3" t="s">
        <x:v>188</x:v>
      </x:c>
      <x:c r="B21" s="3" t="n">
        <x:f>IF(Parametri!B7&gt;0,ROUNDUP(B10/Parametri!B7,0),0)</x:f>
        <x:v>36</x:v>
      </x:c>
      <x:c r="C21" s="3" t="s">
        <x:v>189</x:v>
      </x:c>
      <x:c r="D21" s="3"/>
      <x:c r="E21" s="3"/>
      <x:c r="F21" s="3"/>
    </x:row>
    <x:row r="22">
      <x:c r="A22" s="3" t="s">
        <x:v>83</x:v>
      </x:c>
      <x:c r="B22" s="4" t="n">
        <x:f>Parametri!B9</x:f>
        <x:v>12.3</x:v>
      </x:c>
      <x:c r="C22" s="3" t="s">
        <x:v>36</x:v>
      </x:c>
      <x:c r="D22" s="3"/>
      <x:c r="E22" s="3"/>
      <x:c r="F22" s="3"/>
    </x:row>
    <x:row r="23" ht="30">
      <x:c r="A23" s="3" t="s">
        <x:v>190</x:v>
      </x:c>
      <x:c r="B23" s="10" t="str">
        <x:f>IF(Parametri!B11&gt;0,B16/Parametri!B11,"Inserisci costo mensile in Parametri")</x:f>
        <x:v>Inserisci costo mensile in Parametri</x:v>
      </x:c>
      <x:c r="C23" s="3"/>
      <x:c r="D23" s="3"/>
      <x:c r="E23" s="3"/>
      <x:c r="F23" s="3"/>
    </x:row>
    <x:row r="24" ht="60">
      <x:c r="A24" s="3" t="s">
        <x:v>191</x:v>
      </x:c>
      <x:c r="B24" s="5" t="n">
        <x:f>IF(Parametri!B8&gt;0,ROUNDUP(B10/Parametri!B8,0),0)</x:f>
        <x:v>45</x:v>
      </x:c>
      <x:c r="C24" s="3" t="s">
        <x:v>192</x:v>
      </x:c>
    </x:row>
    <x:row r="25">
      <x:c r="A25" s="3" t="s">
        <x:v>89</x:v>
      </x:c>
      <x:c r="B25" s="4" t="n">
        <x:f>Parametri!B12</x:f>
        <x:v>9.3</x:v>
      </x:c>
      <x:c r="C25" s="3" t="s">
        <x:v>36</x:v>
      </x:c>
    </x:row>
  </x:sheetData>
  <x:mergeCells>
    <x:mergeCell ref="A1:F1"/>
    <x:mergeCell ref="A3:F3"/>
    <x:mergeCell ref="A19:F19"/>
    <x:mergeCell ref="H3:K3"/>
  </x:mergeCells>
  <x:conditionalFormatting sqref="B14:B14">
    <x:cfRule type="expression" dxfId="6" priority="5">
      <x:formula>B14&lt;0</x:formula>
    </x:cfRule>
  </x:conditionalFormatting>
  <x:conditionalFormatting sqref="B16:B16">
    <x:cfRule type="expression" dxfId="5" priority="6">
      <x:formula>B16&lt;0</x:formula>
    </x:cfRule>
    <x:cfRule type="expression" dxfId="4" priority="7">
      <x:formula>B16&gt;=0</x:formula>
    </x:cfRule>
  </x:conditionalFormatting>
  <x:conditionalFormatting sqref="B18:B18">
    <x:cfRule type="expression" dxfId="3" priority="1">
      <x:formula>B18&lt;0</x:formula>
    </x:cfRule>
    <x:cfRule type="expression" dxfId="2" priority="2">
      <x:formula>B18&gt;=0</x:formula>
    </x:cfRule>
  </x:conditionalFormatting>
  <x:conditionalFormatting sqref="B20:B20">
    <x:cfRule type="expression" dxfId="1" priority="3">
      <x:formula>LEFT(B20,2)="Sì"</x:formula>
    </x:cfRule>
    <x:cfRule type="expression" dxfId="0" priority="4">
      <x:formula>B20="No"</x:formula>
    </x:cfRule>
  </x:conditionalFormatting>
  <x:pageMargins left="0.7" right="0.7" top="0.75" bottom="0.75" header="0.3" footer="0.3"/>
  <x:drawing xmlns:r="http://schemas.openxmlformats.org/officeDocument/2006/relationships" r:id="Ra3b429e6e9b24d13"/>
</x:worksheet>
</file>

<file path=xl/worksheets/sheet9.xml><?xml version="1.0" encoding="utf-8"?>
<x:worksheet xmlns:x="http://schemas.openxmlformats.org/spreadsheetml/2006/main">
  <x:sheetFormatPr baseColWidth="10" defaultColWidth="8.83203125" defaultRowHeight="15"/>
  <x:cols>
    <x:col min="1" max="1" width="20" style="1" customWidth="1"/>
    <x:col min="2" max="2" width="18" style="1" customWidth="1"/>
    <x:col min="3" max="3" width="12" style="1" customWidth="1"/>
    <x:col min="4" max="4" width="24" style="1" customWidth="1"/>
    <x:col min="5" max="5" width="10.33203125" style="1" customWidth="1"/>
    <x:col min="6" max="16384" width="8.83203125" style="1" customWidth="0"/>
  </x:cols>
  <x:sheetData>
    <x:row r="1" ht="37.25" customHeight="1">
      <x:c r="A1" s="14" t="s">
        <x:v>193</x:v>
      </x:c>
      <x:c r="B1" s="15"/>
      <x:c r="C1" s="15"/>
      <x:c r="D1" s="15"/>
    </x:row>
    <x:row r="3" ht="32" customHeight="1">
      <x:c r="A3" s="2" t="s">
        <x:v>194</x:v>
      </x:c>
      <x:c r="B3" s="2" t="s">
        <x:v>132</x:v>
      </x:c>
      <x:c r="C3" s="2" t="s">
        <x:v>195</x:v>
      </x:c>
      <x:c r="D3" s="2" t="s">
        <x:v>196</x:v>
      </x:c>
      <x:c r="E3" s="12" t="s">
        <x:v>197</x:v>
      </x:c>
    </x:row>
    <x:row r="4" ht="20" customHeight="1">
      <x:c r="A4" s="3" t="s">
        <x:v>102</x:v>
      </x:c>
      <x:c r="B4" s="3" t="s">
        <x:v>137</x:v>
      </x:c>
      <x:c r="C4" s="3" t="s">
        <x:v>147</x:v>
      </x:c>
      <x:c r="D4" s="3" t="s">
        <x:v>177</x:v>
      </x:c>
      <x:c r="E4" s="11" t="n">
        <x:f>Parametri!$B$7</x:f>
        <x:v>15</x:v>
      </x:c>
    </x:row>
    <x:row r="5" ht="20" customHeight="1">
      <x:c r="A5" s="3" t="s">
        <x:v>169</x:v>
      </x:c>
      <x:c r="B5" s="3" t="s">
        <x:v>198</x:v>
      </x:c>
      <x:c r="C5" s="3" t="s">
        <x:v>199</x:v>
      </x:c>
      <x:c r="D5" s="3" t="s">
        <x:v>178</x:v>
      </x:c>
      <x:c r="E5" s="11" t="n">
        <x:f>Parametri!$B$8</x:f>
        <x:v>12</x:v>
      </x:c>
    </x:row>
    <x:row r="6" ht="20" customHeight="1">
      <x:c r="A6" s="3" t="s">
        <x:v>200</x:v>
      </x:c>
      <x:c r="B6" s="3" t="s">
        <x:v>135</x:v>
      </x:c>
      <x:c r="C6" s="3"/>
      <x:c r="D6" s="3" t="s">
        <x:v>180</x:v>
      </x:c>
    </x:row>
    <x:row r="7" ht="20" customHeight="1">
      <x:c r="A7" s="3" t="s">
        <x:v>105</x:v>
      </x:c>
      <x:c r="B7" s="3"/>
      <x:c r="C7" s="3"/>
      <x:c r="D7" s="3" t="s">
        <x:v>181</x:v>
      </x:c>
    </x:row>
    <x:row r="8" ht="20" customHeight="1">
      <x:c r="A8" s="3" t="s">
        <x:v>150</x:v>
      </x:c>
      <x:c r="B8" s="3"/>
      <x:c r="C8" s="3"/>
      <x:c r="D8" s="3" t="s">
        <x:v>167</x:v>
      </x:c>
    </x:row>
    <x:row r="9" ht="20" customHeight="1">
      <x:c r="A9" s="3" t="s">
        <x:v>182</x:v>
      </x:c>
      <x:c r="B9" s="3"/>
      <x:c r="C9" s="3"/>
      <x:c r="D9" s="3" t="s">
        <x:v>182</x:v>
      </x:c>
    </x:row>
  </x:sheetData>
  <x:mergeCells>
    <x:mergeCell ref="A1:D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17" hidden="0" customWidth="1"/>
    <x:col min="7" max="7" width="15" hidden="0" customWidth="1"/>
    <x:col min="8" max="8" width="15" hidden="0" customWidth="1"/>
    <x:col min="9" max="9" width="17" hidden="0" customWidth="1"/>
    <x:col min="10" max="10" width="28" hidden="0" customWidth="1"/>
  </x:cols>
  <x:sheetData>
    <x:row r="1" ht="26" customHeight="1">
      <x:c r="A1" s="26" t="str">
        <x:v>Patch affidate per la vendita</x:v>
      </x:c>
      <x:c r="B1" s="26"/>
      <x:c r="C1" s="26"/>
      <x:c r="D1" s="26"/>
      <x:c r="E1" s="26"/>
      <x:c r="F1" s="26"/>
      <x:c r="G1" s="26"/>
      <x:c r="H1" s="26"/>
      <x:c r="I1" s="26"/>
      <x:c r="J1" s="26"/>
    </x:row>
    <x:row r="2" ht="34" customHeight="1">
      <x:c r="A2" s="30" t="str">
        <x:v>Una riga per ogni venditore: compila data, nome, quantità affidata, eventuali restituzioni e denaro già versato.</x:v>
      </x:c>
      <x:c r="B2" s="30"/>
      <x:c r="C2" s="30"/>
      <x:c r="D2" s="30"/>
      <x:c r="E2" s="30"/>
      <x:c r="F2" s="30"/>
      <x:c r="G2" s="30"/>
      <x:c r="H2" s="30"/>
      <x:c r="I2" s="30"/>
      <x:c r="J2" s="30"/>
    </x:row>
    <x:row r="3" ht="38" customHeight="1">
      <x:c r="A3" s="35" t="str">
        <x:v>Data affidamento</x:v>
      </x:c>
      <x:c r="B3" s="35" t="str">
        <x:v>Venditore</x:v>
      </x:c>
      <x:c r="C3" s="35" t="str">
        <x:v>Quantità affidata</x:v>
      </x:c>
      <x:c r="D3" s="35" t="str">
        <x:v>Quantità venduta</x:v>
      </x:c>
      <x:c r="E3" s="35" t="str">
        <x:v>Quantità restituita</x:v>
      </x:c>
      <x:c r="F3" s="35" t="str">
        <x:v>Patch ancora affidate</x:v>
      </x:c>
      <x:c r="G3" s="35" t="str">
        <x:v>Incasso vendite</x:v>
      </x:c>
      <x:c r="H3" s="35" t="str">
        <x:v>Versato in cassa</x:v>
      </x:c>
      <x:c r="I3" s="35" t="str">
        <x:v>Denaro da versare</x:v>
      </x:c>
      <x:c r="J3" s="35" t="str">
        <x:v>Stato / Note</x:v>
      </x:c>
    </x:row>
    <x:row r="4" ht="22" customHeight="1">
      <x:c r="A4" s="64"/>
      <x:c r="B4" s="56"/>
      <x:c r="C4" s="67"/>
      <x:c r="D4" s="67" t="str">
        <x:f>IF(B4="","",SUMIFS('Vendite_Patch'!$D$4:$D$303,'Vendite_Patch'!$L$4:$L$303,B4))</x:f>
      </x:c>
      <x:c r="E4" s="67"/>
      <x:c r="F4" s="67" t="str">
        <x:f>IF(B4="","",MAX(C4-D4-E4,0))</x:f>
      </x:c>
      <x:c r="G4" s="70" t="str">
        <x:f>IF(B4="","",SUMIFS('Vendite_Patch'!$F$4:$F$303,'Vendite_Patch'!$L$4:$L$303,B4,'Vendite_Patch'!$I$4:$I$303,"Sì"))</x:f>
      </x:c>
      <x:c r="H4" s="70"/>
      <x:c r="I4" s="70" t="str">
        <x:f>IF(B4="","",MAX(G4-H4,0))</x:f>
      </x:c>
      <x:c r="J4" s="57"/>
    </x:row>
    <x:row r="5" ht="22" customHeight="1">
      <x:c r="A5" s="65"/>
      <x:c r="B5" s="59"/>
      <x:c r="C5" s="68"/>
      <x:c r="D5" s="68" t="str">
        <x:f>IF(B5="","",SUMIFS('Vendite_Patch'!$D$4:$D$303,'Vendite_Patch'!$L$4:$L$303,B5))</x:f>
      </x:c>
      <x:c r="E5" s="68"/>
      <x:c r="F5" s="68" t="str">
        <x:f>IF(B5="","",MAX(C5-D5-E5,0))</x:f>
      </x:c>
      <x:c r="G5" s="71" t="str">
        <x:f>IF(B5="","",SUMIFS('Vendite_Patch'!$F$4:$F$303,'Vendite_Patch'!$L$4:$L$303,B5,'Vendite_Patch'!$I$4:$I$303,"Sì"))</x:f>
      </x:c>
      <x:c r="H5" s="71"/>
      <x:c r="I5" s="71" t="str">
        <x:f>IF(B5="","",MAX(G5-H5,0))</x:f>
      </x:c>
      <x:c r="J5" s="60"/>
    </x:row>
    <x:row r="6" ht="22" customHeight="1">
      <x:c r="A6" s="65"/>
      <x:c r="B6" s="59"/>
      <x:c r="C6" s="68"/>
      <x:c r="D6" s="68" t="str">
        <x:f>IF(B6="","",SUMIFS('Vendite_Patch'!$D$4:$D$303,'Vendite_Patch'!$L$4:$L$303,B6))</x:f>
      </x:c>
      <x:c r="E6" s="68"/>
      <x:c r="F6" s="68" t="str">
        <x:f>IF(B6="","",MAX(C6-D6-E6,0))</x:f>
      </x:c>
      <x:c r="G6" s="71" t="str">
        <x:f>IF(B6="","",SUMIFS('Vendite_Patch'!$F$4:$F$303,'Vendite_Patch'!$L$4:$L$303,B6,'Vendite_Patch'!$I$4:$I$303,"Sì"))</x:f>
      </x:c>
      <x:c r="H6" s="71"/>
      <x:c r="I6" s="71" t="str">
        <x:f>IF(B6="","",MAX(G6-H6,0))</x:f>
      </x:c>
      <x:c r="J6" s="60"/>
    </x:row>
    <x:row r="7" ht="22" customHeight="1">
      <x:c r="A7" s="65"/>
      <x:c r="B7" s="59"/>
      <x:c r="C7" s="68"/>
      <x:c r="D7" s="68" t="str">
        <x:f>IF(B7="","",SUMIFS('Vendite_Patch'!$D$4:$D$303,'Vendite_Patch'!$L$4:$L$303,B7))</x:f>
      </x:c>
      <x:c r="E7" s="68"/>
      <x:c r="F7" s="68" t="str">
        <x:f>IF(B7="","",MAX(C7-D7-E7,0))</x:f>
      </x:c>
      <x:c r="G7" s="71" t="str">
        <x:f>IF(B7="","",SUMIFS('Vendite_Patch'!$F$4:$F$303,'Vendite_Patch'!$L$4:$L$303,B7,'Vendite_Patch'!$I$4:$I$303,"Sì"))</x:f>
      </x:c>
      <x:c r="H7" s="71"/>
      <x:c r="I7" s="71" t="str">
        <x:f>IF(B7="","",MAX(G7-H7,0))</x:f>
      </x:c>
      <x:c r="J7" s="60"/>
    </x:row>
    <x:row r="8" ht="22" customHeight="1">
      <x:c r="A8" s="65"/>
      <x:c r="B8" s="59"/>
      <x:c r="C8" s="68"/>
      <x:c r="D8" s="68" t="str">
        <x:f>IF(B8="","",SUMIFS('Vendite_Patch'!$D$4:$D$303,'Vendite_Patch'!$L$4:$L$303,B8))</x:f>
      </x:c>
      <x:c r="E8" s="68"/>
      <x:c r="F8" s="68" t="str">
        <x:f>IF(B8="","",MAX(C8-D8-E8,0))</x:f>
      </x:c>
      <x:c r="G8" s="71" t="str">
        <x:f>IF(B8="","",SUMIFS('Vendite_Patch'!$F$4:$F$303,'Vendite_Patch'!$L$4:$L$303,B8,'Vendite_Patch'!$I$4:$I$303,"Sì"))</x:f>
      </x:c>
      <x:c r="H8" s="71"/>
      <x:c r="I8" s="71" t="str">
        <x:f>IF(B8="","",MAX(G8-H8,0))</x:f>
      </x:c>
      <x:c r="J8" s="60"/>
    </x:row>
    <x:row r="9" ht="22" customHeight="1">
      <x:c r="A9" s="65"/>
      <x:c r="B9" s="59"/>
      <x:c r="C9" s="68"/>
      <x:c r="D9" s="68" t="str">
        <x:f>IF(B9="","",SUMIFS('Vendite_Patch'!$D$4:$D$303,'Vendite_Patch'!$L$4:$L$303,B9))</x:f>
      </x:c>
      <x:c r="E9" s="68"/>
      <x:c r="F9" s="68" t="str">
        <x:f>IF(B9="","",MAX(C9-D9-E9,0))</x:f>
      </x:c>
      <x:c r="G9" s="71" t="str">
        <x:f>IF(B9="","",SUMIFS('Vendite_Patch'!$F$4:$F$303,'Vendite_Patch'!$L$4:$L$303,B9,'Vendite_Patch'!$I$4:$I$303,"Sì"))</x:f>
      </x:c>
      <x:c r="H9" s="71"/>
      <x:c r="I9" s="71" t="str">
        <x:f>IF(B9="","",MAX(G9-H9,0))</x:f>
      </x:c>
      <x:c r="J9" s="60"/>
    </x:row>
    <x:row r="10" ht="22" customHeight="1">
      <x:c r="A10" s="65"/>
      <x:c r="B10" s="59"/>
      <x:c r="C10" s="68"/>
      <x:c r="D10" s="68" t="str">
        <x:f>IF(B10="","",SUMIFS('Vendite_Patch'!$D$4:$D$303,'Vendite_Patch'!$L$4:$L$303,B10))</x:f>
      </x:c>
      <x:c r="E10" s="68"/>
      <x:c r="F10" s="68" t="str">
        <x:f>IF(B10="","",MAX(C10-D10-E10,0))</x:f>
      </x:c>
      <x:c r="G10" s="71" t="str">
        <x:f>IF(B10="","",SUMIFS('Vendite_Patch'!$F$4:$F$303,'Vendite_Patch'!$L$4:$L$303,B10,'Vendite_Patch'!$I$4:$I$303,"Sì"))</x:f>
      </x:c>
      <x:c r="H10" s="71"/>
      <x:c r="I10" s="71" t="str">
        <x:f>IF(B10="","",MAX(G10-H10,0))</x:f>
      </x:c>
      <x:c r="J10" s="60"/>
    </x:row>
    <x:row r="11" ht="22" customHeight="1">
      <x:c r="A11" s="65"/>
      <x:c r="B11" s="59"/>
      <x:c r="C11" s="68"/>
      <x:c r="D11" s="68" t="str">
        <x:f>IF(B11="","",SUMIFS('Vendite_Patch'!$D$4:$D$303,'Vendite_Patch'!$L$4:$L$303,B11))</x:f>
      </x:c>
      <x:c r="E11" s="68"/>
      <x:c r="F11" s="68" t="str">
        <x:f>IF(B11="","",MAX(C11-D11-E11,0))</x:f>
      </x:c>
      <x:c r="G11" s="71" t="str">
        <x:f>IF(B11="","",SUMIFS('Vendite_Patch'!$F$4:$F$303,'Vendite_Patch'!$L$4:$L$303,B11,'Vendite_Patch'!$I$4:$I$303,"Sì"))</x:f>
      </x:c>
      <x:c r="H11" s="71"/>
      <x:c r="I11" s="71" t="str">
        <x:f>IF(B11="","",MAX(G11-H11,0))</x:f>
      </x:c>
      <x:c r="J11" s="60"/>
    </x:row>
    <x:row r="12" ht="22" customHeight="1">
      <x:c r="A12" s="65"/>
      <x:c r="B12" s="59"/>
      <x:c r="C12" s="68"/>
      <x:c r="D12" s="68" t="str">
        <x:f>IF(B12="","",SUMIFS('Vendite_Patch'!$D$4:$D$303,'Vendite_Patch'!$L$4:$L$303,B12))</x:f>
      </x:c>
      <x:c r="E12" s="68"/>
      <x:c r="F12" s="68" t="str">
        <x:f>IF(B12="","",MAX(C12-D12-E12,0))</x:f>
      </x:c>
      <x:c r="G12" s="71" t="str">
        <x:f>IF(B12="","",SUMIFS('Vendite_Patch'!$F$4:$F$303,'Vendite_Patch'!$L$4:$L$303,B12,'Vendite_Patch'!$I$4:$I$303,"Sì"))</x:f>
      </x:c>
      <x:c r="H12" s="71"/>
      <x:c r="I12" s="71" t="str">
        <x:f>IF(B12="","",MAX(G12-H12,0))</x:f>
      </x:c>
      <x:c r="J12" s="60"/>
    </x:row>
    <x:row r="13" ht="22" customHeight="1">
      <x:c r="A13" s="65"/>
      <x:c r="B13" s="59"/>
      <x:c r="C13" s="68"/>
      <x:c r="D13" s="68" t="str">
        <x:f>IF(B13="","",SUMIFS('Vendite_Patch'!$D$4:$D$303,'Vendite_Patch'!$L$4:$L$303,B13))</x:f>
      </x:c>
      <x:c r="E13" s="68"/>
      <x:c r="F13" s="68" t="str">
        <x:f>IF(B13="","",MAX(C13-D13-E13,0))</x:f>
      </x:c>
      <x:c r="G13" s="71" t="str">
        <x:f>IF(B13="","",SUMIFS('Vendite_Patch'!$F$4:$F$303,'Vendite_Patch'!$L$4:$L$303,B13,'Vendite_Patch'!$I$4:$I$303,"Sì"))</x:f>
      </x:c>
      <x:c r="H13" s="71"/>
      <x:c r="I13" s="71" t="str">
        <x:f>IF(B13="","",MAX(G13-H13,0))</x:f>
      </x:c>
      <x:c r="J13" s="60"/>
    </x:row>
    <x:row r="14" ht="22" customHeight="1">
      <x:c r="A14" s="65"/>
      <x:c r="B14" s="59"/>
      <x:c r="C14" s="68"/>
      <x:c r="D14" s="68" t="str">
        <x:f>IF(B14="","",SUMIFS('Vendite_Patch'!$D$4:$D$303,'Vendite_Patch'!$L$4:$L$303,B14))</x:f>
      </x:c>
      <x:c r="E14" s="68"/>
      <x:c r="F14" s="68" t="str">
        <x:f>IF(B14="","",MAX(C14-D14-E14,0))</x:f>
      </x:c>
      <x:c r="G14" s="71" t="str">
        <x:f>IF(B14="","",SUMIFS('Vendite_Patch'!$F$4:$F$303,'Vendite_Patch'!$L$4:$L$303,B14,'Vendite_Patch'!$I$4:$I$303,"Sì"))</x:f>
      </x:c>
      <x:c r="H14" s="71"/>
      <x:c r="I14" s="71" t="str">
        <x:f>IF(B14="","",MAX(G14-H14,0))</x:f>
      </x:c>
      <x:c r="J14" s="60"/>
    </x:row>
    <x:row r="15" ht="22" customHeight="1">
      <x:c r="A15" s="65"/>
      <x:c r="B15" s="59"/>
      <x:c r="C15" s="68"/>
      <x:c r="D15" s="68" t="str">
        <x:f>IF(B15="","",SUMIFS('Vendite_Patch'!$D$4:$D$303,'Vendite_Patch'!$L$4:$L$303,B15))</x:f>
      </x:c>
      <x:c r="E15" s="68"/>
      <x:c r="F15" s="68" t="str">
        <x:f>IF(B15="","",MAX(C15-D15-E15,0))</x:f>
      </x:c>
      <x:c r="G15" s="71" t="str">
        <x:f>IF(B15="","",SUMIFS('Vendite_Patch'!$F$4:$F$303,'Vendite_Patch'!$L$4:$L$303,B15,'Vendite_Patch'!$I$4:$I$303,"Sì"))</x:f>
      </x:c>
      <x:c r="H15" s="71"/>
      <x:c r="I15" s="71" t="str">
        <x:f>IF(B15="","",MAX(G15-H15,0))</x:f>
      </x:c>
      <x:c r="J15" s="60"/>
    </x:row>
    <x:row r="16" ht="22" customHeight="1">
      <x:c r="A16" s="65"/>
      <x:c r="B16" s="59"/>
      <x:c r="C16" s="68"/>
      <x:c r="D16" s="68" t="str">
        <x:f>IF(B16="","",SUMIFS('Vendite_Patch'!$D$4:$D$303,'Vendite_Patch'!$L$4:$L$303,B16))</x:f>
      </x:c>
      <x:c r="E16" s="68"/>
      <x:c r="F16" s="68" t="str">
        <x:f>IF(B16="","",MAX(C16-D16-E16,0))</x:f>
      </x:c>
      <x:c r="G16" s="71" t="str">
        <x:f>IF(B16="","",SUMIFS('Vendite_Patch'!$F$4:$F$303,'Vendite_Patch'!$L$4:$L$303,B16,'Vendite_Patch'!$I$4:$I$303,"Sì"))</x:f>
      </x:c>
      <x:c r="H16" s="71"/>
      <x:c r="I16" s="71" t="str">
        <x:f>IF(B16="","",MAX(G16-H16,0))</x:f>
      </x:c>
      <x:c r="J16" s="60"/>
    </x:row>
    <x:row r="17" ht="22" customHeight="1">
      <x:c r="A17" s="65"/>
      <x:c r="B17" s="59"/>
      <x:c r="C17" s="68"/>
      <x:c r="D17" s="68" t="str">
        <x:f>IF(B17="","",SUMIFS('Vendite_Patch'!$D$4:$D$303,'Vendite_Patch'!$L$4:$L$303,B17))</x:f>
      </x:c>
      <x:c r="E17" s="68"/>
      <x:c r="F17" s="68" t="str">
        <x:f>IF(B17="","",MAX(C17-D17-E17,0))</x:f>
      </x:c>
      <x:c r="G17" s="71" t="str">
        <x:f>IF(B17="","",SUMIFS('Vendite_Patch'!$F$4:$F$303,'Vendite_Patch'!$L$4:$L$303,B17,'Vendite_Patch'!$I$4:$I$303,"Sì"))</x:f>
      </x:c>
      <x:c r="H17" s="71"/>
      <x:c r="I17" s="71" t="str">
        <x:f>IF(B17="","",MAX(G17-H17,0))</x:f>
      </x:c>
      <x:c r="J17" s="60"/>
    </x:row>
    <x:row r="18" ht="22" customHeight="1">
      <x:c r="A18" s="65"/>
      <x:c r="B18" s="59"/>
      <x:c r="C18" s="68"/>
      <x:c r="D18" s="68" t="str">
        <x:f>IF(B18="","",SUMIFS('Vendite_Patch'!$D$4:$D$303,'Vendite_Patch'!$L$4:$L$303,B18))</x:f>
      </x:c>
      <x:c r="E18" s="68"/>
      <x:c r="F18" s="68" t="str">
        <x:f>IF(B18="","",MAX(C18-D18-E18,0))</x:f>
      </x:c>
      <x:c r="G18" s="71" t="str">
        <x:f>IF(B18="","",SUMIFS('Vendite_Patch'!$F$4:$F$303,'Vendite_Patch'!$L$4:$L$303,B18,'Vendite_Patch'!$I$4:$I$303,"Sì"))</x:f>
      </x:c>
      <x:c r="H18" s="71"/>
      <x:c r="I18" s="71" t="str">
        <x:f>IF(B18="","",MAX(G18-H18,0))</x:f>
      </x:c>
      <x:c r="J18" s="60"/>
    </x:row>
    <x:row r="19" ht="22" customHeight="1">
      <x:c r="A19" s="65"/>
      <x:c r="B19" s="59"/>
      <x:c r="C19" s="68"/>
      <x:c r="D19" s="68" t="str">
        <x:f>IF(B19="","",SUMIFS('Vendite_Patch'!$D$4:$D$303,'Vendite_Patch'!$L$4:$L$303,B19))</x:f>
      </x:c>
      <x:c r="E19" s="68"/>
      <x:c r="F19" s="68" t="str">
        <x:f>IF(B19="","",MAX(C19-D19-E19,0))</x:f>
      </x:c>
      <x:c r="G19" s="71" t="str">
        <x:f>IF(B19="","",SUMIFS('Vendite_Patch'!$F$4:$F$303,'Vendite_Patch'!$L$4:$L$303,B19,'Vendite_Patch'!$I$4:$I$303,"Sì"))</x:f>
      </x:c>
      <x:c r="H19" s="71"/>
      <x:c r="I19" s="71" t="str">
        <x:f>IF(B19="","",MAX(G19-H19,0))</x:f>
      </x:c>
      <x:c r="J19" s="60"/>
    </x:row>
    <x:row r="20" ht="22" customHeight="1">
      <x:c r="A20" s="65"/>
      <x:c r="B20" s="59"/>
      <x:c r="C20" s="68"/>
      <x:c r="D20" s="68" t="str">
        <x:f>IF(B20="","",SUMIFS('Vendite_Patch'!$D$4:$D$303,'Vendite_Patch'!$L$4:$L$303,B20))</x:f>
      </x:c>
      <x:c r="E20" s="68"/>
      <x:c r="F20" s="68" t="str">
        <x:f>IF(B20="","",MAX(C20-D20-E20,0))</x:f>
      </x:c>
      <x:c r="G20" s="71" t="str">
        <x:f>IF(B20="","",SUMIFS('Vendite_Patch'!$F$4:$F$303,'Vendite_Patch'!$L$4:$L$303,B20,'Vendite_Patch'!$I$4:$I$303,"Sì"))</x:f>
      </x:c>
      <x:c r="H20" s="71"/>
      <x:c r="I20" s="71" t="str">
        <x:f>IF(B20="","",MAX(G20-H20,0))</x:f>
      </x:c>
      <x:c r="J20" s="60"/>
    </x:row>
    <x:row r="21" ht="22" customHeight="1">
      <x:c r="A21" s="65"/>
      <x:c r="B21" s="59"/>
      <x:c r="C21" s="68"/>
      <x:c r="D21" s="68" t="str">
        <x:f>IF(B21="","",SUMIFS('Vendite_Patch'!$D$4:$D$303,'Vendite_Patch'!$L$4:$L$303,B21))</x:f>
      </x:c>
      <x:c r="E21" s="68"/>
      <x:c r="F21" s="68" t="str">
        <x:f>IF(B21="","",MAX(C21-D21-E21,0))</x:f>
      </x:c>
      <x:c r="G21" s="71" t="str">
        <x:f>IF(B21="","",SUMIFS('Vendite_Patch'!$F$4:$F$303,'Vendite_Patch'!$L$4:$L$303,B21,'Vendite_Patch'!$I$4:$I$303,"Sì"))</x:f>
      </x:c>
      <x:c r="H21" s="71"/>
      <x:c r="I21" s="71" t="str">
        <x:f>IF(B21="","",MAX(G21-H21,0))</x:f>
      </x:c>
      <x:c r="J21" s="60"/>
    </x:row>
    <x:row r="22" ht="22" customHeight="1">
      <x:c r="A22" s="65"/>
      <x:c r="B22" s="59"/>
      <x:c r="C22" s="68"/>
      <x:c r="D22" s="68" t="str">
        <x:f>IF(B22="","",SUMIFS('Vendite_Patch'!$D$4:$D$303,'Vendite_Patch'!$L$4:$L$303,B22))</x:f>
      </x:c>
      <x:c r="E22" s="68"/>
      <x:c r="F22" s="68" t="str">
        <x:f>IF(B22="","",MAX(C22-D22-E22,0))</x:f>
      </x:c>
      <x:c r="G22" s="71" t="str">
        <x:f>IF(B22="","",SUMIFS('Vendite_Patch'!$F$4:$F$303,'Vendite_Patch'!$L$4:$L$303,B22,'Vendite_Patch'!$I$4:$I$303,"Sì"))</x:f>
      </x:c>
      <x:c r="H22" s="71"/>
      <x:c r="I22" s="71" t="str">
        <x:f>IF(B22="","",MAX(G22-H22,0))</x:f>
      </x:c>
      <x:c r="J22" s="60"/>
    </x:row>
    <x:row r="23" ht="22" customHeight="1">
      <x:c r="A23" s="65"/>
      <x:c r="B23" s="59"/>
      <x:c r="C23" s="68"/>
      <x:c r="D23" s="68" t="str">
        <x:f>IF(B23="","",SUMIFS('Vendite_Patch'!$D$4:$D$303,'Vendite_Patch'!$L$4:$L$303,B23))</x:f>
      </x:c>
      <x:c r="E23" s="68"/>
      <x:c r="F23" s="68" t="str">
        <x:f>IF(B23="","",MAX(C23-D23-E23,0))</x:f>
      </x:c>
      <x:c r="G23" s="71" t="str">
        <x:f>IF(B23="","",SUMIFS('Vendite_Patch'!$F$4:$F$303,'Vendite_Patch'!$L$4:$L$303,B23,'Vendite_Patch'!$I$4:$I$303,"Sì"))</x:f>
      </x:c>
      <x:c r="H23" s="71"/>
      <x:c r="I23" s="71" t="str">
        <x:f>IF(B23="","",MAX(G23-H23,0))</x:f>
      </x:c>
      <x:c r="J23" s="60"/>
    </x:row>
    <x:row r="24" ht="22" customHeight="1">
      <x:c r="A24" s="65"/>
      <x:c r="B24" s="59"/>
      <x:c r="C24" s="68"/>
      <x:c r="D24" s="68" t="str">
        <x:f>IF(B24="","",SUMIFS('Vendite_Patch'!$D$4:$D$303,'Vendite_Patch'!$L$4:$L$303,B24))</x:f>
      </x:c>
      <x:c r="E24" s="68"/>
      <x:c r="F24" s="68" t="str">
        <x:f>IF(B24="","",MAX(C24-D24-E24,0))</x:f>
      </x:c>
      <x:c r="G24" s="71" t="str">
        <x:f>IF(B24="","",SUMIFS('Vendite_Patch'!$F$4:$F$303,'Vendite_Patch'!$L$4:$L$303,B24,'Vendite_Patch'!$I$4:$I$303,"Sì"))</x:f>
      </x:c>
      <x:c r="H24" s="71"/>
      <x:c r="I24" s="71" t="str">
        <x:f>IF(B24="","",MAX(G24-H24,0))</x:f>
      </x:c>
      <x:c r="J24" s="60"/>
    </x:row>
    <x:row r="25" ht="22" customHeight="1">
      <x:c r="A25" s="65"/>
      <x:c r="B25" s="59"/>
      <x:c r="C25" s="68"/>
      <x:c r="D25" s="68" t="str">
        <x:f>IF(B25="","",SUMIFS('Vendite_Patch'!$D$4:$D$303,'Vendite_Patch'!$L$4:$L$303,B25))</x:f>
      </x:c>
      <x:c r="E25" s="68"/>
      <x:c r="F25" s="68" t="str">
        <x:f>IF(B25="","",MAX(C25-D25-E25,0))</x:f>
      </x:c>
      <x:c r="G25" s="71" t="str">
        <x:f>IF(B25="","",SUMIFS('Vendite_Patch'!$F$4:$F$303,'Vendite_Patch'!$L$4:$L$303,B25,'Vendite_Patch'!$I$4:$I$303,"Sì"))</x:f>
      </x:c>
      <x:c r="H25" s="71"/>
      <x:c r="I25" s="71" t="str">
        <x:f>IF(B25="","",MAX(G25-H25,0))</x:f>
      </x:c>
      <x:c r="J25" s="60"/>
    </x:row>
    <x:row r="26" ht="22" customHeight="1">
      <x:c r="A26" s="65"/>
      <x:c r="B26" s="59"/>
      <x:c r="C26" s="68"/>
      <x:c r="D26" s="68" t="str">
        <x:f>IF(B26="","",SUMIFS('Vendite_Patch'!$D$4:$D$303,'Vendite_Patch'!$L$4:$L$303,B26))</x:f>
      </x:c>
      <x:c r="E26" s="68"/>
      <x:c r="F26" s="68" t="str">
        <x:f>IF(B26="","",MAX(C26-D26-E26,0))</x:f>
      </x:c>
      <x:c r="G26" s="71" t="str">
        <x:f>IF(B26="","",SUMIFS('Vendite_Patch'!$F$4:$F$303,'Vendite_Patch'!$L$4:$L$303,B26,'Vendite_Patch'!$I$4:$I$303,"Sì"))</x:f>
      </x:c>
      <x:c r="H26" s="71"/>
      <x:c r="I26" s="71" t="str">
        <x:f>IF(B26="","",MAX(G26-H26,0))</x:f>
      </x:c>
      <x:c r="J26" s="60"/>
    </x:row>
    <x:row r="27" ht="22" customHeight="1">
      <x:c r="A27" s="65"/>
      <x:c r="B27" s="59"/>
      <x:c r="C27" s="68"/>
      <x:c r="D27" s="68" t="str">
        <x:f>IF(B27="","",SUMIFS('Vendite_Patch'!$D$4:$D$303,'Vendite_Patch'!$L$4:$L$303,B27))</x:f>
      </x:c>
      <x:c r="E27" s="68"/>
      <x:c r="F27" s="68" t="str">
        <x:f>IF(B27="","",MAX(C27-D27-E27,0))</x:f>
      </x:c>
      <x:c r="G27" s="71" t="str">
        <x:f>IF(B27="","",SUMIFS('Vendite_Patch'!$F$4:$F$303,'Vendite_Patch'!$L$4:$L$303,B27,'Vendite_Patch'!$I$4:$I$303,"Sì"))</x:f>
      </x:c>
      <x:c r="H27" s="71"/>
      <x:c r="I27" s="71" t="str">
        <x:f>IF(B27="","",MAX(G27-H27,0))</x:f>
      </x:c>
      <x:c r="J27" s="60"/>
    </x:row>
    <x:row r="28" ht="22" customHeight="1">
      <x:c r="A28" s="65"/>
      <x:c r="B28" s="59"/>
      <x:c r="C28" s="68"/>
      <x:c r="D28" s="68" t="str">
        <x:f>IF(B28="","",SUMIFS('Vendite_Patch'!$D$4:$D$303,'Vendite_Patch'!$L$4:$L$303,B28))</x:f>
      </x:c>
      <x:c r="E28" s="68"/>
      <x:c r="F28" s="68" t="str">
        <x:f>IF(B28="","",MAX(C28-D28-E28,0))</x:f>
      </x:c>
      <x:c r="G28" s="71" t="str">
        <x:f>IF(B28="","",SUMIFS('Vendite_Patch'!$F$4:$F$303,'Vendite_Patch'!$L$4:$L$303,B28,'Vendite_Patch'!$I$4:$I$303,"Sì"))</x:f>
      </x:c>
      <x:c r="H28" s="71"/>
      <x:c r="I28" s="71" t="str">
        <x:f>IF(B28="","",MAX(G28-H28,0))</x:f>
      </x:c>
      <x:c r="J28" s="60"/>
    </x:row>
    <x:row r="29" ht="22" customHeight="1">
      <x:c r="A29" s="65"/>
      <x:c r="B29" s="59"/>
      <x:c r="C29" s="68"/>
      <x:c r="D29" s="68" t="str">
        <x:f>IF(B29="","",SUMIFS('Vendite_Patch'!$D$4:$D$303,'Vendite_Patch'!$L$4:$L$303,B29))</x:f>
      </x:c>
      <x:c r="E29" s="68"/>
      <x:c r="F29" s="68" t="str">
        <x:f>IF(B29="","",MAX(C29-D29-E29,0))</x:f>
      </x:c>
      <x:c r="G29" s="71" t="str">
        <x:f>IF(B29="","",SUMIFS('Vendite_Patch'!$F$4:$F$303,'Vendite_Patch'!$L$4:$L$303,B29,'Vendite_Patch'!$I$4:$I$303,"Sì"))</x:f>
      </x:c>
      <x:c r="H29" s="71"/>
      <x:c r="I29" s="71" t="str">
        <x:f>IF(B29="","",MAX(G29-H29,0))</x:f>
      </x:c>
      <x:c r="J29" s="60"/>
    </x:row>
    <x:row r="30" ht="22" customHeight="1">
      <x:c r="A30" s="65"/>
      <x:c r="B30" s="59"/>
      <x:c r="C30" s="68"/>
      <x:c r="D30" s="68" t="str">
        <x:f>IF(B30="","",SUMIFS('Vendite_Patch'!$D$4:$D$303,'Vendite_Patch'!$L$4:$L$303,B30))</x:f>
      </x:c>
      <x:c r="E30" s="68"/>
      <x:c r="F30" s="68" t="str">
        <x:f>IF(B30="","",MAX(C30-D30-E30,0))</x:f>
      </x:c>
      <x:c r="G30" s="71" t="str">
        <x:f>IF(B30="","",SUMIFS('Vendite_Patch'!$F$4:$F$303,'Vendite_Patch'!$L$4:$L$303,B30,'Vendite_Patch'!$I$4:$I$303,"Sì"))</x:f>
      </x:c>
      <x:c r="H30" s="71"/>
      <x:c r="I30" s="71" t="str">
        <x:f>IF(B30="","",MAX(G30-H30,0))</x:f>
      </x:c>
      <x:c r="J30" s="60"/>
    </x:row>
    <x:row r="31" ht="22" customHeight="1">
      <x:c r="A31" s="65"/>
      <x:c r="B31" s="59"/>
      <x:c r="C31" s="68"/>
      <x:c r="D31" s="68" t="str">
        <x:f>IF(B31="","",SUMIFS('Vendite_Patch'!$D$4:$D$303,'Vendite_Patch'!$L$4:$L$303,B31))</x:f>
      </x:c>
      <x:c r="E31" s="68"/>
      <x:c r="F31" s="68" t="str">
        <x:f>IF(B31="","",MAX(C31-D31-E31,0))</x:f>
      </x:c>
      <x:c r="G31" s="71" t="str">
        <x:f>IF(B31="","",SUMIFS('Vendite_Patch'!$F$4:$F$303,'Vendite_Patch'!$L$4:$L$303,B31,'Vendite_Patch'!$I$4:$I$303,"Sì"))</x:f>
      </x:c>
      <x:c r="H31" s="71"/>
      <x:c r="I31" s="71" t="str">
        <x:f>IF(B31="","",MAX(G31-H31,0))</x:f>
      </x:c>
      <x:c r="J31" s="60"/>
    </x:row>
    <x:row r="32" ht="22" customHeight="1">
      <x:c r="A32" s="65"/>
      <x:c r="B32" s="59"/>
      <x:c r="C32" s="68"/>
      <x:c r="D32" s="68" t="str">
        <x:f>IF(B32="","",SUMIFS('Vendite_Patch'!$D$4:$D$303,'Vendite_Patch'!$L$4:$L$303,B32))</x:f>
      </x:c>
      <x:c r="E32" s="68"/>
      <x:c r="F32" s="68" t="str">
        <x:f>IF(B32="","",MAX(C32-D32-E32,0))</x:f>
      </x:c>
      <x:c r="G32" s="71" t="str">
        <x:f>IF(B32="","",SUMIFS('Vendite_Patch'!$F$4:$F$303,'Vendite_Patch'!$L$4:$L$303,B32,'Vendite_Patch'!$I$4:$I$303,"Sì"))</x:f>
      </x:c>
      <x:c r="H32" s="71"/>
      <x:c r="I32" s="71" t="str">
        <x:f>IF(B32="","",MAX(G32-H32,0))</x:f>
      </x:c>
      <x:c r="J32" s="60"/>
    </x:row>
    <x:row r="33" ht="22" customHeight="1">
      <x:c r="A33" s="65"/>
      <x:c r="B33" s="59"/>
      <x:c r="C33" s="68"/>
      <x:c r="D33" s="68" t="str">
        <x:f>IF(B33="","",SUMIFS('Vendite_Patch'!$D$4:$D$303,'Vendite_Patch'!$L$4:$L$303,B33))</x:f>
      </x:c>
      <x:c r="E33" s="68"/>
      <x:c r="F33" s="68" t="str">
        <x:f>IF(B33="","",MAX(C33-D33-E33,0))</x:f>
      </x:c>
      <x:c r="G33" s="71" t="str">
        <x:f>IF(B33="","",SUMIFS('Vendite_Patch'!$F$4:$F$303,'Vendite_Patch'!$L$4:$L$303,B33,'Vendite_Patch'!$I$4:$I$303,"Sì"))</x:f>
      </x:c>
      <x:c r="H33" s="71"/>
      <x:c r="I33" s="71" t="str">
        <x:f>IF(B33="","",MAX(G33-H33,0))</x:f>
      </x:c>
      <x:c r="J33" s="60"/>
    </x:row>
    <x:row r="34" ht="22" customHeight="1">
      <x:c r="A34" s="65"/>
      <x:c r="B34" s="59"/>
      <x:c r="C34" s="68"/>
      <x:c r="D34" s="68" t="str">
        <x:f>IF(B34="","",SUMIFS('Vendite_Patch'!$D$4:$D$303,'Vendite_Patch'!$L$4:$L$303,B34))</x:f>
      </x:c>
      <x:c r="E34" s="68"/>
      <x:c r="F34" s="68" t="str">
        <x:f>IF(B34="","",MAX(C34-D34-E34,0))</x:f>
      </x:c>
      <x:c r="G34" s="71" t="str">
        <x:f>IF(B34="","",SUMIFS('Vendite_Patch'!$F$4:$F$303,'Vendite_Patch'!$L$4:$L$303,B34,'Vendite_Patch'!$I$4:$I$303,"Sì"))</x:f>
      </x:c>
      <x:c r="H34" s="71"/>
      <x:c r="I34" s="71" t="str">
        <x:f>IF(B34="","",MAX(G34-H34,0))</x:f>
      </x:c>
      <x:c r="J34" s="60"/>
    </x:row>
    <x:row r="35" ht="22" customHeight="1">
      <x:c r="A35" s="65"/>
      <x:c r="B35" s="59"/>
      <x:c r="C35" s="68"/>
      <x:c r="D35" s="68" t="str">
        <x:f>IF(B35="","",SUMIFS('Vendite_Patch'!$D$4:$D$303,'Vendite_Patch'!$L$4:$L$303,B35))</x:f>
      </x:c>
      <x:c r="E35" s="68"/>
      <x:c r="F35" s="68" t="str">
        <x:f>IF(B35="","",MAX(C35-D35-E35,0))</x:f>
      </x:c>
      <x:c r="G35" s="71" t="str">
        <x:f>IF(B35="","",SUMIFS('Vendite_Patch'!$F$4:$F$303,'Vendite_Patch'!$L$4:$L$303,B35,'Vendite_Patch'!$I$4:$I$303,"Sì"))</x:f>
      </x:c>
      <x:c r="H35" s="71"/>
      <x:c r="I35" s="71" t="str">
        <x:f>IF(B35="","",MAX(G35-H35,0))</x:f>
      </x:c>
      <x:c r="J35" s="60"/>
    </x:row>
    <x:row r="36" ht="22" customHeight="1">
      <x:c r="A36" s="65"/>
      <x:c r="B36" s="59"/>
      <x:c r="C36" s="68"/>
      <x:c r="D36" s="68" t="str">
        <x:f>IF(B36="","",SUMIFS('Vendite_Patch'!$D$4:$D$303,'Vendite_Patch'!$L$4:$L$303,B36))</x:f>
      </x:c>
      <x:c r="E36" s="68"/>
      <x:c r="F36" s="68" t="str">
        <x:f>IF(B36="","",MAX(C36-D36-E36,0))</x:f>
      </x:c>
      <x:c r="G36" s="71" t="str">
        <x:f>IF(B36="","",SUMIFS('Vendite_Patch'!$F$4:$F$303,'Vendite_Patch'!$L$4:$L$303,B36,'Vendite_Patch'!$I$4:$I$303,"Sì"))</x:f>
      </x:c>
      <x:c r="H36" s="71"/>
      <x:c r="I36" s="71" t="str">
        <x:f>IF(B36="","",MAX(G36-H36,0))</x:f>
      </x:c>
      <x:c r="J36" s="60"/>
    </x:row>
    <x:row r="37" ht="22" customHeight="1">
      <x:c r="A37" s="65"/>
      <x:c r="B37" s="59"/>
      <x:c r="C37" s="68"/>
      <x:c r="D37" s="68" t="str">
        <x:f>IF(B37="","",SUMIFS('Vendite_Patch'!$D$4:$D$303,'Vendite_Patch'!$L$4:$L$303,B37))</x:f>
      </x:c>
      <x:c r="E37" s="68"/>
      <x:c r="F37" s="68" t="str">
        <x:f>IF(B37="","",MAX(C37-D37-E37,0))</x:f>
      </x:c>
      <x:c r="G37" s="71" t="str">
        <x:f>IF(B37="","",SUMIFS('Vendite_Patch'!$F$4:$F$303,'Vendite_Patch'!$L$4:$L$303,B37,'Vendite_Patch'!$I$4:$I$303,"Sì"))</x:f>
      </x:c>
      <x:c r="H37" s="71"/>
      <x:c r="I37" s="71" t="str">
        <x:f>IF(B37="","",MAX(G37-H37,0))</x:f>
      </x:c>
      <x:c r="J37" s="60"/>
    </x:row>
    <x:row r="38" ht="22" customHeight="1">
      <x:c r="A38" s="65"/>
      <x:c r="B38" s="59"/>
      <x:c r="C38" s="68"/>
      <x:c r="D38" s="68" t="str">
        <x:f>IF(B38="","",SUMIFS('Vendite_Patch'!$D$4:$D$303,'Vendite_Patch'!$L$4:$L$303,B38))</x:f>
      </x:c>
      <x:c r="E38" s="68"/>
      <x:c r="F38" s="68" t="str">
        <x:f>IF(B38="","",MAX(C38-D38-E38,0))</x:f>
      </x:c>
      <x:c r="G38" s="71" t="str">
        <x:f>IF(B38="","",SUMIFS('Vendite_Patch'!$F$4:$F$303,'Vendite_Patch'!$L$4:$L$303,B38,'Vendite_Patch'!$I$4:$I$303,"Sì"))</x:f>
      </x:c>
      <x:c r="H38" s="71"/>
      <x:c r="I38" s="71" t="str">
        <x:f>IF(B38="","",MAX(G38-H38,0))</x:f>
      </x:c>
      <x:c r="J38" s="60"/>
    </x:row>
    <x:row r="39" ht="22" customHeight="1">
      <x:c r="A39" s="65"/>
      <x:c r="B39" s="59"/>
      <x:c r="C39" s="68"/>
      <x:c r="D39" s="68" t="str">
        <x:f>IF(B39="","",SUMIFS('Vendite_Patch'!$D$4:$D$303,'Vendite_Patch'!$L$4:$L$303,B39))</x:f>
      </x:c>
      <x:c r="E39" s="68"/>
      <x:c r="F39" s="68" t="str">
        <x:f>IF(B39="","",MAX(C39-D39-E39,0))</x:f>
      </x:c>
      <x:c r="G39" s="71" t="str">
        <x:f>IF(B39="","",SUMIFS('Vendite_Patch'!$F$4:$F$303,'Vendite_Patch'!$L$4:$L$303,B39,'Vendite_Patch'!$I$4:$I$303,"Sì"))</x:f>
      </x:c>
      <x:c r="H39" s="71"/>
      <x:c r="I39" s="71" t="str">
        <x:f>IF(B39="","",MAX(G39-H39,0))</x:f>
      </x:c>
      <x:c r="J39" s="60"/>
    </x:row>
    <x:row r="40" ht="22" customHeight="1">
      <x:c r="A40" s="65"/>
      <x:c r="B40" s="59"/>
      <x:c r="C40" s="68"/>
      <x:c r="D40" s="68" t="str">
        <x:f>IF(B40="","",SUMIFS('Vendite_Patch'!$D$4:$D$303,'Vendite_Patch'!$L$4:$L$303,B40))</x:f>
      </x:c>
      <x:c r="E40" s="68"/>
      <x:c r="F40" s="68" t="str">
        <x:f>IF(B40="","",MAX(C40-D40-E40,0))</x:f>
      </x:c>
      <x:c r="G40" s="71" t="str">
        <x:f>IF(B40="","",SUMIFS('Vendite_Patch'!$F$4:$F$303,'Vendite_Patch'!$L$4:$L$303,B40,'Vendite_Patch'!$I$4:$I$303,"Sì"))</x:f>
      </x:c>
      <x:c r="H40" s="71"/>
      <x:c r="I40" s="71" t="str">
        <x:f>IF(B40="","",MAX(G40-H40,0))</x:f>
      </x:c>
      <x:c r="J40" s="60"/>
    </x:row>
    <x:row r="41" ht="22" customHeight="1">
      <x:c r="A41" s="65"/>
      <x:c r="B41" s="59"/>
      <x:c r="C41" s="68"/>
      <x:c r="D41" s="68" t="str">
        <x:f>IF(B41="","",SUMIFS('Vendite_Patch'!$D$4:$D$303,'Vendite_Patch'!$L$4:$L$303,B41))</x:f>
      </x:c>
      <x:c r="E41" s="68"/>
      <x:c r="F41" s="68" t="str">
        <x:f>IF(B41="","",MAX(C41-D41-E41,0))</x:f>
      </x:c>
      <x:c r="G41" s="71" t="str">
        <x:f>IF(B41="","",SUMIFS('Vendite_Patch'!$F$4:$F$303,'Vendite_Patch'!$L$4:$L$303,B41,'Vendite_Patch'!$I$4:$I$303,"Sì"))</x:f>
      </x:c>
      <x:c r="H41" s="71"/>
      <x:c r="I41" s="71" t="str">
        <x:f>IF(B41="","",MAX(G41-H41,0))</x:f>
      </x:c>
      <x:c r="J41" s="60"/>
    </x:row>
    <x:row r="42" ht="22" customHeight="1">
      <x:c r="A42" s="65"/>
      <x:c r="B42" s="59"/>
      <x:c r="C42" s="68"/>
      <x:c r="D42" s="68" t="str">
        <x:f>IF(B42="","",SUMIFS('Vendite_Patch'!$D$4:$D$303,'Vendite_Patch'!$L$4:$L$303,B42))</x:f>
      </x:c>
      <x:c r="E42" s="68"/>
      <x:c r="F42" s="68" t="str">
        <x:f>IF(B42="","",MAX(C42-D42-E42,0))</x:f>
      </x:c>
      <x:c r="G42" s="71" t="str">
        <x:f>IF(B42="","",SUMIFS('Vendite_Patch'!$F$4:$F$303,'Vendite_Patch'!$L$4:$L$303,B42,'Vendite_Patch'!$I$4:$I$303,"Sì"))</x:f>
      </x:c>
      <x:c r="H42" s="71"/>
      <x:c r="I42" s="71" t="str">
        <x:f>IF(B42="","",MAX(G42-H42,0))</x:f>
      </x:c>
      <x:c r="J42" s="60"/>
    </x:row>
    <x:row r="43" ht="22" customHeight="1">
      <x:c r="A43" s="65"/>
      <x:c r="B43" s="59"/>
      <x:c r="C43" s="68"/>
      <x:c r="D43" s="68" t="str">
        <x:f>IF(B43="","",SUMIFS('Vendite_Patch'!$D$4:$D$303,'Vendite_Patch'!$L$4:$L$303,B43))</x:f>
      </x:c>
      <x:c r="E43" s="68"/>
      <x:c r="F43" s="68" t="str">
        <x:f>IF(B43="","",MAX(C43-D43-E43,0))</x:f>
      </x:c>
      <x:c r="G43" s="71" t="str">
        <x:f>IF(B43="","",SUMIFS('Vendite_Patch'!$F$4:$F$303,'Vendite_Patch'!$L$4:$L$303,B43,'Vendite_Patch'!$I$4:$I$303,"Sì"))</x:f>
      </x:c>
      <x:c r="H43" s="71"/>
      <x:c r="I43" s="71" t="str">
        <x:f>IF(B43="","",MAX(G43-H43,0))</x:f>
      </x:c>
      <x:c r="J43" s="60"/>
    </x:row>
    <x:row r="44" ht="22" customHeight="1">
      <x:c r="A44" s="65"/>
      <x:c r="B44" s="59"/>
      <x:c r="C44" s="68"/>
      <x:c r="D44" s="68" t="str">
        <x:f>IF(B44="","",SUMIFS('Vendite_Patch'!$D$4:$D$303,'Vendite_Patch'!$L$4:$L$303,B44))</x:f>
      </x:c>
      <x:c r="E44" s="68"/>
      <x:c r="F44" s="68" t="str">
        <x:f>IF(B44="","",MAX(C44-D44-E44,0))</x:f>
      </x:c>
      <x:c r="G44" s="71" t="str">
        <x:f>IF(B44="","",SUMIFS('Vendite_Patch'!$F$4:$F$303,'Vendite_Patch'!$L$4:$L$303,B44,'Vendite_Patch'!$I$4:$I$303,"Sì"))</x:f>
      </x:c>
      <x:c r="H44" s="71"/>
      <x:c r="I44" s="71" t="str">
        <x:f>IF(B44="","",MAX(G44-H44,0))</x:f>
      </x:c>
      <x:c r="J44" s="60"/>
    </x:row>
    <x:row r="45" ht="22" customHeight="1">
      <x:c r="A45" s="65"/>
      <x:c r="B45" s="59"/>
      <x:c r="C45" s="68"/>
      <x:c r="D45" s="68" t="str">
        <x:f>IF(B45="","",SUMIFS('Vendite_Patch'!$D$4:$D$303,'Vendite_Patch'!$L$4:$L$303,B45))</x:f>
      </x:c>
      <x:c r="E45" s="68"/>
      <x:c r="F45" s="68" t="str">
        <x:f>IF(B45="","",MAX(C45-D45-E45,0))</x:f>
      </x:c>
      <x:c r="G45" s="71" t="str">
        <x:f>IF(B45="","",SUMIFS('Vendite_Patch'!$F$4:$F$303,'Vendite_Patch'!$L$4:$L$303,B45,'Vendite_Patch'!$I$4:$I$303,"Sì"))</x:f>
      </x:c>
      <x:c r="H45" s="71"/>
      <x:c r="I45" s="71" t="str">
        <x:f>IF(B45="","",MAX(G45-H45,0))</x:f>
      </x:c>
      <x:c r="J45" s="60"/>
    </x:row>
    <x:row r="46" ht="22" customHeight="1">
      <x:c r="A46" s="65"/>
      <x:c r="B46" s="59"/>
      <x:c r="C46" s="68"/>
      <x:c r="D46" s="68" t="str">
        <x:f>IF(B46="","",SUMIFS('Vendite_Patch'!$D$4:$D$303,'Vendite_Patch'!$L$4:$L$303,B46))</x:f>
      </x:c>
      <x:c r="E46" s="68"/>
      <x:c r="F46" s="68" t="str">
        <x:f>IF(B46="","",MAX(C46-D46-E46,0))</x:f>
      </x:c>
      <x:c r="G46" s="71" t="str">
        <x:f>IF(B46="","",SUMIFS('Vendite_Patch'!$F$4:$F$303,'Vendite_Patch'!$L$4:$L$303,B46,'Vendite_Patch'!$I$4:$I$303,"Sì"))</x:f>
      </x:c>
      <x:c r="H46" s="71"/>
      <x:c r="I46" s="71" t="str">
        <x:f>IF(B46="","",MAX(G46-H46,0))</x:f>
      </x:c>
      <x:c r="J46" s="60"/>
    </x:row>
    <x:row r="47" ht="22" customHeight="1">
      <x:c r="A47" s="65"/>
      <x:c r="B47" s="59"/>
      <x:c r="C47" s="68"/>
      <x:c r="D47" s="68" t="str">
        <x:f>IF(B47="","",SUMIFS('Vendite_Patch'!$D$4:$D$303,'Vendite_Patch'!$L$4:$L$303,B47))</x:f>
      </x:c>
      <x:c r="E47" s="68"/>
      <x:c r="F47" s="68" t="str">
        <x:f>IF(B47="","",MAX(C47-D47-E47,0))</x:f>
      </x:c>
      <x:c r="G47" s="71" t="str">
        <x:f>IF(B47="","",SUMIFS('Vendite_Patch'!$F$4:$F$303,'Vendite_Patch'!$L$4:$L$303,B47,'Vendite_Patch'!$I$4:$I$303,"Sì"))</x:f>
      </x:c>
      <x:c r="H47" s="71"/>
      <x:c r="I47" s="71" t="str">
        <x:f>IF(B47="","",MAX(G47-H47,0))</x:f>
      </x:c>
      <x:c r="J47" s="60"/>
    </x:row>
    <x:row r="48" ht="22" customHeight="1">
      <x:c r="A48" s="65"/>
      <x:c r="B48" s="59"/>
      <x:c r="C48" s="68"/>
      <x:c r="D48" s="68" t="str">
        <x:f>IF(B48="","",SUMIFS('Vendite_Patch'!$D$4:$D$303,'Vendite_Patch'!$L$4:$L$303,B48))</x:f>
      </x:c>
      <x:c r="E48" s="68"/>
      <x:c r="F48" s="68" t="str">
        <x:f>IF(B48="","",MAX(C48-D48-E48,0))</x:f>
      </x:c>
      <x:c r="G48" s="71" t="str">
        <x:f>IF(B48="","",SUMIFS('Vendite_Patch'!$F$4:$F$303,'Vendite_Patch'!$L$4:$L$303,B48,'Vendite_Patch'!$I$4:$I$303,"Sì"))</x:f>
      </x:c>
      <x:c r="H48" s="71"/>
      <x:c r="I48" s="71" t="str">
        <x:f>IF(B48="","",MAX(G48-H48,0))</x:f>
      </x:c>
      <x:c r="J48" s="60"/>
    </x:row>
    <x:row r="49" ht="22" customHeight="1">
      <x:c r="A49" s="65"/>
      <x:c r="B49" s="59"/>
      <x:c r="C49" s="68"/>
      <x:c r="D49" s="68" t="str">
        <x:f>IF(B49="","",SUMIFS('Vendite_Patch'!$D$4:$D$303,'Vendite_Patch'!$L$4:$L$303,B49))</x:f>
      </x:c>
      <x:c r="E49" s="68"/>
      <x:c r="F49" s="68" t="str">
        <x:f>IF(B49="","",MAX(C49-D49-E49,0))</x:f>
      </x:c>
      <x:c r="G49" s="71" t="str">
        <x:f>IF(B49="","",SUMIFS('Vendite_Patch'!$F$4:$F$303,'Vendite_Patch'!$L$4:$L$303,B49,'Vendite_Patch'!$I$4:$I$303,"Sì"))</x:f>
      </x:c>
      <x:c r="H49" s="71"/>
      <x:c r="I49" s="71" t="str">
        <x:f>IF(B49="","",MAX(G49-H49,0))</x:f>
      </x:c>
      <x:c r="J49" s="60"/>
    </x:row>
    <x:row r="50" ht="22" customHeight="1">
      <x:c r="A50" s="65"/>
      <x:c r="B50" s="59"/>
      <x:c r="C50" s="68"/>
      <x:c r="D50" s="68" t="str">
        <x:f>IF(B50="","",SUMIFS('Vendite_Patch'!$D$4:$D$303,'Vendite_Patch'!$L$4:$L$303,B50))</x:f>
      </x:c>
      <x:c r="E50" s="68"/>
      <x:c r="F50" s="68" t="str">
        <x:f>IF(B50="","",MAX(C50-D50-E50,0))</x:f>
      </x:c>
      <x:c r="G50" s="71" t="str">
        <x:f>IF(B50="","",SUMIFS('Vendite_Patch'!$F$4:$F$303,'Vendite_Patch'!$L$4:$L$303,B50,'Vendite_Patch'!$I$4:$I$303,"Sì"))</x:f>
      </x:c>
      <x:c r="H50" s="71"/>
      <x:c r="I50" s="71" t="str">
        <x:f>IF(B50="","",MAX(G50-H50,0))</x:f>
      </x:c>
      <x:c r="J50" s="60"/>
    </x:row>
    <x:row r="51" ht="22" customHeight="1">
      <x:c r="A51" s="65"/>
      <x:c r="B51" s="59"/>
      <x:c r="C51" s="68"/>
      <x:c r="D51" s="68" t="str">
        <x:f>IF(B51="","",SUMIFS('Vendite_Patch'!$D$4:$D$303,'Vendite_Patch'!$L$4:$L$303,B51))</x:f>
      </x:c>
      <x:c r="E51" s="68"/>
      <x:c r="F51" s="68" t="str">
        <x:f>IF(B51="","",MAX(C51-D51-E51,0))</x:f>
      </x:c>
      <x:c r="G51" s="71" t="str">
        <x:f>IF(B51="","",SUMIFS('Vendite_Patch'!$F$4:$F$303,'Vendite_Patch'!$L$4:$L$303,B51,'Vendite_Patch'!$I$4:$I$303,"Sì"))</x:f>
      </x:c>
      <x:c r="H51" s="71"/>
      <x:c r="I51" s="71" t="str">
        <x:f>IF(B51="","",MAX(G51-H51,0))</x:f>
      </x:c>
      <x:c r="J51" s="60"/>
    </x:row>
    <x:row r="52" ht="22" customHeight="1">
      <x:c r="A52" s="65"/>
      <x:c r="B52" s="59"/>
      <x:c r="C52" s="68"/>
      <x:c r="D52" s="68" t="str">
        <x:f>IF(B52="","",SUMIFS('Vendite_Patch'!$D$4:$D$303,'Vendite_Patch'!$L$4:$L$303,B52))</x:f>
      </x:c>
      <x:c r="E52" s="68"/>
      <x:c r="F52" s="68" t="str">
        <x:f>IF(B52="","",MAX(C52-D52-E52,0))</x:f>
      </x:c>
      <x:c r="G52" s="71" t="str">
        <x:f>IF(B52="","",SUMIFS('Vendite_Patch'!$F$4:$F$303,'Vendite_Patch'!$L$4:$L$303,B52,'Vendite_Patch'!$I$4:$I$303,"Sì"))</x:f>
      </x:c>
      <x:c r="H52" s="71"/>
      <x:c r="I52" s="71" t="str">
        <x:f>IF(B52="","",MAX(G52-H52,0))</x:f>
      </x:c>
      <x:c r="J52" s="60"/>
    </x:row>
    <x:row r="53" ht="22" customHeight="1">
      <x:c r="A53" s="65"/>
      <x:c r="B53" s="59"/>
      <x:c r="C53" s="68"/>
      <x:c r="D53" s="68" t="str">
        <x:f>IF(B53="","",SUMIFS('Vendite_Patch'!$D$4:$D$303,'Vendite_Patch'!$L$4:$L$303,B53))</x:f>
      </x:c>
      <x:c r="E53" s="68"/>
      <x:c r="F53" s="68" t="str">
        <x:f>IF(B53="","",MAX(C53-D53-E53,0))</x:f>
      </x:c>
      <x:c r="G53" s="71" t="str">
        <x:f>IF(B53="","",SUMIFS('Vendite_Patch'!$F$4:$F$303,'Vendite_Patch'!$L$4:$L$303,B53,'Vendite_Patch'!$I$4:$I$303,"Sì"))</x:f>
      </x:c>
      <x:c r="H53" s="71"/>
      <x:c r="I53" s="71" t="str">
        <x:f>IF(B53="","",MAX(G53-H53,0))</x:f>
      </x:c>
      <x:c r="J53" s="60"/>
    </x:row>
    <x:row r="54" ht="22" customHeight="1">
      <x:c r="A54" s="65"/>
      <x:c r="B54" s="59"/>
      <x:c r="C54" s="68"/>
      <x:c r="D54" s="68" t="str">
        <x:f>IF(B54="","",SUMIFS('Vendite_Patch'!$D$4:$D$303,'Vendite_Patch'!$L$4:$L$303,B54))</x:f>
      </x:c>
      <x:c r="E54" s="68"/>
      <x:c r="F54" s="68" t="str">
        <x:f>IF(B54="","",MAX(C54-D54-E54,0))</x:f>
      </x:c>
      <x:c r="G54" s="71" t="str">
        <x:f>IF(B54="","",SUMIFS('Vendite_Patch'!$F$4:$F$303,'Vendite_Patch'!$L$4:$L$303,B54,'Vendite_Patch'!$I$4:$I$303,"Sì"))</x:f>
      </x:c>
      <x:c r="H54" s="71"/>
      <x:c r="I54" s="71" t="str">
        <x:f>IF(B54="","",MAX(G54-H54,0))</x:f>
      </x:c>
      <x:c r="J54" s="60"/>
    </x:row>
    <x:row r="55" ht="22" customHeight="1">
      <x:c r="A55" s="65"/>
      <x:c r="B55" s="59"/>
      <x:c r="C55" s="68"/>
      <x:c r="D55" s="68" t="str">
        <x:f>IF(B55="","",SUMIFS('Vendite_Patch'!$D$4:$D$303,'Vendite_Patch'!$L$4:$L$303,B55))</x:f>
      </x:c>
      <x:c r="E55" s="68"/>
      <x:c r="F55" s="68" t="str">
        <x:f>IF(B55="","",MAX(C55-D55-E55,0))</x:f>
      </x:c>
      <x:c r="G55" s="71" t="str">
        <x:f>IF(B55="","",SUMIFS('Vendite_Patch'!$F$4:$F$303,'Vendite_Patch'!$L$4:$L$303,B55,'Vendite_Patch'!$I$4:$I$303,"Sì"))</x:f>
      </x:c>
      <x:c r="H55" s="71"/>
      <x:c r="I55" s="71" t="str">
        <x:f>IF(B55="","",MAX(G55-H55,0))</x:f>
      </x:c>
      <x:c r="J55" s="60"/>
    </x:row>
    <x:row r="56" ht="22" customHeight="1">
      <x:c r="A56" s="65"/>
      <x:c r="B56" s="59"/>
      <x:c r="C56" s="68"/>
      <x:c r="D56" s="68" t="str">
        <x:f>IF(B56="","",SUMIFS('Vendite_Patch'!$D$4:$D$303,'Vendite_Patch'!$L$4:$L$303,B56))</x:f>
      </x:c>
      <x:c r="E56" s="68"/>
      <x:c r="F56" s="68" t="str">
        <x:f>IF(B56="","",MAX(C56-D56-E56,0))</x:f>
      </x:c>
      <x:c r="G56" s="71" t="str">
        <x:f>IF(B56="","",SUMIFS('Vendite_Patch'!$F$4:$F$303,'Vendite_Patch'!$L$4:$L$303,B56,'Vendite_Patch'!$I$4:$I$303,"Sì"))</x:f>
      </x:c>
      <x:c r="H56" s="71"/>
      <x:c r="I56" s="71" t="str">
        <x:f>IF(B56="","",MAX(G56-H56,0))</x:f>
      </x:c>
      <x:c r="J56" s="60"/>
    </x:row>
    <x:row r="57" ht="22" customHeight="1">
      <x:c r="A57" s="65"/>
      <x:c r="B57" s="59"/>
      <x:c r="C57" s="68"/>
      <x:c r="D57" s="68" t="str">
        <x:f>IF(B57="","",SUMIFS('Vendite_Patch'!$D$4:$D$303,'Vendite_Patch'!$L$4:$L$303,B57))</x:f>
      </x:c>
      <x:c r="E57" s="68"/>
      <x:c r="F57" s="68" t="str">
        <x:f>IF(B57="","",MAX(C57-D57-E57,0))</x:f>
      </x:c>
      <x:c r="G57" s="71" t="str">
        <x:f>IF(B57="","",SUMIFS('Vendite_Patch'!$F$4:$F$303,'Vendite_Patch'!$L$4:$L$303,B57,'Vendite_Patch'!$I$4:$I$303,"Sì"))</x:f>
      </x:c>
      <x:c r="H57" s="71"/>
      <x:c r="I57" s="71" t="str">
        <x:f>IF(B57="","",MAX(G57-H57,0))</x:f>
      </x:c>
      <x:c r="J57" s="60"/>
    </x:row>
    <x:row r="58" ht="22" customHeight="1">
      <x:c r="A58" s="65"/>
      <x:c r="B58" s="59"/>
      <x:c r="C58" s="68"/>
      <x:c r="D58" s="68" t="str">
        <x:f>IF(B58="","",SUMIFS('Vendite_Patch'!$D$4:$D$303,'Vendite_Patch'!$L$4:$L$303,B58))</x:f>
      </x:c>
      <x:c r="E58" s="68"/>
      <x:c r="F58" s="68" t="str">
        <x:f>IF(B58="","",MAX(C58-D58-E58,0))</x:f>
      </x:c>
      <x:c r="G58" s="71" t="str">
        <x:f>IF(B58="","",SUMIFS('Vendite_Patch'!$F$4:$F$303,'Vendite_Patch'!$L$4:$L$303,B58,'Vendite_Patch'!$I$4:$I$303,"Sì"))</x:f>
      </x:c>
      <x:c r="H58" s="71"/>
      <x:c r="I58" s="71" t="str">
        <x:f>IF(B58="","",MAX(G58-H58,0))</x:f>
      </x:c>
      <x:c r="J58" s="60"/>
    </x:row>
    <x:row r="59" ht="22" customHeight="1">
      <x:c r="A59" s="65"/>
      <x:c r="B59" s="59"/>
      <x:c r="C59" s="68"/>
      <x:c r="D59" s="68" t="str">
        <x:f>IF(B59="","",SUMIFS('Vendite_Patch'!$D$4:$D$303,'Vendite_Patch'!$L$4:$L$303,B59))</x:f>
      </x:c>
      <x:c r="E59" s="68"/>
      <x:c r="F59" s="68" t="str">
        <x:f>IF(B59="","",MAX(C59-D59-E59,0))</x:f>
      </x:c>
      <x:c r="G59" s="71" t="str">
        <x:f>IF(B59="","",SUMIFS('Vendite_Patch'!$F$4:$F$303,'Vendite_Patch'!$L$4:$L$303,B59,'Vendite_Patch'!$I$4:$I$303,"Sì"))</x:f>
      </x:c>
      <x:c r="H59" s="71"/>
      <x:c r="I59" s="71" t="str">
        <x:f>IF(B59="","",MAX(G59-H59,0))</x:f>
      </x:c>
      <x:c r="J59" s="60"/>
    </x:row>
    <x:row r="60" ht="22" customHeight="1">
      <x:c r="A60" s="65"/>
      <x:c r="B60" s="59"/>
      <x:c r="C60" s="68"/>
      <x:c r="D60" s="68" t="str">
        <x:f>IF(B60="","",SUMIFS('Vendite_Patch'!$D$4:$D$303,'Vendite_Patch'!$L$4:$L$303,B60))</x:f>
      </x:c>
      <x:c r="E60" s="68"/>
      <x:c r="F60" s="68" t="str">
        <x:f>IF(B60="","",MAX(C60-D60-E60,0))</x:f>
      </x:c>
      <x:c r="G60" s="71" t="str">
        <x:f>IF(B60="","",SUMIFS('Vendite_Patch'!$F$4:$F$303,'Vendite_Patch'!$L$4:$L$303,B60,'Vendite_Patch'!$I$4:$I$303,"Sì"))</x:f>
      </x:c>
      <x:c r="H60" s="71"/>
      <x:c r="I60" s="71" t="str">
        <x:f>IF(B60="","",MAX(G60-H60,0))</x:f>
      </x:c>
      <x:c r="J60" s="60"/>
    </x:row>
    <x:row r="61" ht="22" customHeight="1">
      <x:c r="A61" s="65"/>
      <x:c r="B61" s="59"/>
      <x:c r="C61" s="68"/>
      <x:c r="D61" s="68" t="str">
        <x:f>IF(B61="","",SUMIFS('Vendite_Patch'!$D$4:$D$303,'Vendite_Patch'!$L$4:$L$303,B61))</x:f>
      </x:c>
      <x:c r="E61" s="68"/>
      <x:c r="F61" s="68" t="str">
        <x:f>IF(B61="","",MAX(C61-D61-E61,0))</x:f>
      </x:c>
      <x:c r="G61" s="71" t="str">
        <x:f>IF(B61="","",SUMIFS('Vendite_Patch'!$F$4:$F$303,'Vendite_Patch'!$L$4:$L$303,B61,'Vendite_Patch'!$I$4:$I$303,"Sì"))</x:f>
      </x:c>
      <x:c r="H61" s="71"/>
      <x:c r="I61" s="71" t="str">
        <x:f>IF(B61="","",MAX(G61-H61,0))</x:f>
      </x:c>
      <x:c r="J61" s="60"/>
    </x:row>
    <x:row r="62" ht="22" customHeight="1">
      <x:c r="A62" s="65"/>
      <x:c r="B62" s="59"/>
      <x:c r="C62" s="68"/>
      <x:c r="D62" s="68" t="str">
        <x:f>IF(B62="","",SUMIFS('Vendite_Patch'!$D$4:$D$303,'Vendite_Patch'!$L$4:$L$303,B62))</x:f>
      </x:c>
      <x:c r="E62" s="68"/>
      <x:c r="F62" s="68" t="str">
        <x:f>IF(B62="","",MAX(C62-D62-E62,0))</x:f>
      </x:c>
      <x:c r="G62" s="71" t="str">
        <x:f>IF(B62="","",SUMIFS('Vendite_Patch'!$F$4:$F$303,'Vendite_Patch'!$L$4:$L$303,B62,'Vendite_Patch'!$I$4:$I$303,"Sì"))</x:f>
      </x:c>
      <x:c r="H62" s="71"/>
      <x:c r="I62" s="71" t="str">
        <x:f>IF(B62="","",MAX(G62-H62,0))</x:f>
      </x:c>
      <x:c r="J62" s="60"/>
    </x:row>
    <x:row r="63" ht="22" customHeight="1">
      <x:c r="A63" s="65"/>
      <x:c r="B63" s="59"/>
      <x:c r="C63" s="68"/>
      <x:c r="D63" s="68" t="str">
        <x:f>IF(B63="","",SUMIFS('Vendite_Patch'!$D$4:$D$303,'Vendite_Patch'!$L$4:$L$303,B63))</x:f>
      </x:c>
      <x:c r="E63" s="68"/>
      <x:c r="F63" s="68" t="str">
        <x:f>IF(B63="","",MAX(C63-D63-E63,0))</x:f>
      </x:c>
      <x:c r="G63" s="71" t="str">
        <x:f>IF(B63="","",SUMIFS('Vendite_Patch'!$F$4:$F$303,'Vendite_Patch'!$L$4:$L$303,B63,'Vendite_Patch'!$I$4:$I$303,"Sì"))</x:f>
      </x:c>
      <x:c r="H63" s="71"/>
      <x:c r="I63" s="71" t="str">
        <x:f>IF(B63="","",MAX(G63-H63,0))</x:f>
      </x:c>
      <x:c r="J63" s="60"/>
    </x:row>
    <x:row r="64" ht="22" customHeight="1">
      <x:c r="A64" s="65"/>
      <x:c r="B64" s="59"/>
      <x:c r="C64" s="68"/>
      <x:c r="D64" s="68" t="str">
        <x:f>IF(B64="","",SUMIFS('Vendite_Patch'!$D$4:$D$303,'Vendite_Patch'!$L$4:$L$303,B64))</x:f>
      </x:c>
      <x:c r="E64" s="68"/>
      <x:c r="F64" s="68" t="str">
        <x:f>IF(B64="","",MAX(C64-D64-E64,0))</x:f>
      </x:c>
      <x:c r="G64" s="71" t="str">
        <x:f>IF(B64="","",SUMIFS('Vendite_Patch'!$F$4:$F$303,'Vendite_Patch'!$L$4:$L$303,B64,'Vendite_Patch'!$I$4:$I$303,"Sì"))</x:f>
      </x:c>
      <x:c r="H64" s="71"/>
      <x:c r="I64" s="71" t="str">
        <x:f>IF(B64="","",MAX(G64-H64,0))</x:f>
      </x:c>
      <x:c r="J64" s="60"/>
    </x:row>
    <x:row r="65" ht="22" customHeight="1">
      <x:c r="A65" s="65"/>
      <x:c r="B65" s="59"/>
      <x:c r="C65" s="68"/>
      <x:c r="D65" s="68" t="str">
        <x:f>IF(B65="","",SUMIFS('Vendite_Patch'!$D$4:$D$303,'Vendite_Patch'!$L$4:$L$303,B65))</x:f>
      </x:c>
      <x:c r="E65" s="68"/>
      <x:c r="F65" s="68" t="str">
        <x:f>IF(B65="","",MAX(C65-D65-E65,0))</x:f>
      </x:c>
      <x:c r="G65" s="71" t="str">
        <x:f>IF(B65="","",SUMIFS('Vendite_Patch'!$F$4:$F$303,'Vendite_Patch'!$L$4:$L$303,B65,'Vendite_Patch'!$I$4:$I$303,"Sì"))</x:f>
      </x:c>
      <x:c r="H65" s="71"/>
      <x:c r="I65" s="71" t="str">
        <x:f>IF(B65="","",MAX(G65-H65,0))</x:f>
      </x:c>
      <x:c r="J65" s="60"/>
    </x:row>
    <x:row r="66" ht="22" customHeight="1">
      <x:c r="A66" s="65"/>
      <x:c r="B66" s="59"/>
      <x:c r="C66" s="68"/>
      <x:c r="D66" s="68" t="str">
        <x:f>IF(B66="","",SUMIFS('Vendite_Patch'!$D$4:$D$303,'Vendite_Patch'!$L$4:$L$303,B66))</x:f>
      </x:c>
      <x:c r="E66" s="68"/>
      <x:c r="F66" s="68" t="str">
        <x:f>IF(B66="","",MAX(C66-D66-E66,0))</x:f>
      </x:c>
      <x:c r="G66" s="71" t="str">
        <x:f>IF(B66="","",SUMIFS('Vendite_Patch'!$F$4:$F$303,'Vendite_Patch'!$L$4:$L$303,B66,'Vendite_Patch'!$I$4:$I$303,"Sì"))</x:f>
      </x:c>
      <x:c r="H66" s="71"/>
      <x:c r="I66" s="71" t="str">
        <x:f>IF(B66="","",MAX(G66-H66,0))</x:f>
      </x:c>
      <x:c r="J66" s="60"/>
    </x:row>
    <x:row r="67" ht="22" customHeight="1">
      <x:c r="A67" s="65"/>
      <x:c r="B67" s="59"/>
      <x:c r="C67" s="68"/>
      <x:c r="D67" s="68" t="str">
        <x:f>IF(B67="","",SUMIFS('Vendite_Patch'!$D$4:$D$303,'Vendite_Patch'!$L$4:$L$303,B67))</x:f>
      </x:c>
      <x:c r="E67" s="68"/>
      <x:c r="F67" s="68" t="str">
        <x:f>IF(B67="","",MAX(C67-D67-E67,0))</x:f>
      </x:c>
      <x:c r="G67" s="71" t="str">
        <x:f>IF(B67="","",SUMIFS('Vendite_Patch'!$F$4:$F$303,'Vendite_Patch'!$L$4:$L$303,B67,'Vendite_Patch'!$I$4:$I$303,"Sì"))</x:f>
      </x:c>
      <x:c r="H67" s="71"/>
      <x:c r="I67" s="71" t="str">
        <x:f>IF(B67="","",MAX(G67-H67,0))</x:f>
      </x:c>
      <x:c r="J67" s="60"/>
    </x:row>
    <x:row r="68" ht="22" customHeight="1">
      <x:c r="A68" s="65"/>
      <x:c r="B68" s="59"/>
      <x:c r="C68" s="68"/>
      <x:c r="D68" s="68" t="str">
        <x:f>IF(B68="","",SUMIFS('Vendite_Patch'!$D$4:$D$303,'Vendite_Patch'!$L$4:$L$303,B68))</x:f>
      </x:c>
      <x:c r="E68" s="68"/>
      <x:c r="F68" s="68" t="str">
        <x:f>IF(B68="","",MAX(C68-D68-E68,0))</x:f>
      </x:c>
      <x:c r="G68" s="71" t="str">
        <x:f>IF(B68="","",SUMIFS('Vendite_Patch'!$F$4:$F$303,'Vendite_Patch'!$L$4:$L$303,B68,'Vendite_Patch'!$I$4:$I$303,"Sì"))</x:f>
      </x:c>
      <x:c r="H68" s="71"/>
      <x:c r="I68" s="71" t="str">
        <x:f>IF(B68="","",MAX(G68-H68,0))</x:f>
      </x:c>
      <x:c r="J68" s="60"/>
    </x:row>
    <x:row r="69" ht="22" customHeight="1">
      <x:c r="A69" s="65"/>
      <x:c r="B69" s="59"/>
      <x:c r="C69" s="68"/>
      <x:c r="D69" s="68" t="str">
        <x:f>IF(B69="","",SUMIFS('Vendite_Patch'!$D$4:$D$303,'Vendite_Patch'!$L$4:$L$303,B69))</x:f>
      </x:c>
      <x:c r="E69" s="68"/>
      <x:c r="F69" s="68" t="str">
        <x:f>IF(B69="","",MAX(C69-D69-E69,0))</x:f>
      </x:c>
      <x:c r="G69" s="71" t="str">
        <x:f>IF(B69="","",SUMIFS('Vendite_Patch'!$F$4:$F$303,'Vendite_Patch'!$L$4:$L$303,B69,'Vendite_Patch'!$I$4:$I$303,"Sì"))</x:f>
      </x:c>
      <x:c r="H69" s="71"/>
      <x:c r="I69" s="71" t="str">
        <x:f>IF(B69="","",MAX(G69-H69,0))</x:f>
      </x:c>
      <x:c r="J69" s="60"/>
    </x:row>
    <x:row r="70" ht="22" customHeight="1">
      <x:c r="A70" s="65"/>
      <x:c r="B70" s="59"/>
      <x:c r="C70" s="68"/>
      <x:c r="D70" s="68" t="str">
        <x:f>IF(B70="","",SUMIFS('Vendite_Patch'!$D$4:$D$303,'Vendite_Patch'!$L$4:$L$303,B70))</x:f>
      </x:c>
      <x:c r="E70" s="68"/>
      <x:c r="F70" s="68" t="str">
        <x:f>IF(B70="","",MAX(C70-D70-E70,0))</x:f>
      </x:c>
      <x:c r="G70" s="71" t="str">
        <x:f>IF(B70="","",SUMIFS('Vendite_Patch'!$F$4:$F$303,'Vendite_Patch'!$L$4:$L$303,B70,'Vendite_Patch'!$I$4:$I$303,"Sì"))</x:f>
      </x:c>
      <x:c r="H70" s="71"/>
      <x:c r="I70" s="71" t="str">
        <x:f>IF(B70="","",MAX(G70-H70,0))</x:f>
      </x:c>
      <x:c r="J70" s="60"/>
    </x:row>
    <x:row r="71" ht="22" customHeight="1">
      <x:c r="A71" s="65"/>
      <x:c r="B71" s="59"/>
      <x:c r="C71" s="68"/>
      <x:c r="D71" s="68" t="str">
        <x:f>IF(B71="","",SUMIFS('Vendite_Patch'!$D$4:$D$303,'Vendite_Patch'!$L$4:$L$303,B71))</x:f>
      </x:c>
      <x:c r="E71" s="68"/>
      <x:c r="F71" s="68" t="str">
        <x:f>IF(B71="","",MAX(C71-D71-E71,0))</x:f>
      </x:c>
      <x:c r="G71" s="71" t="str">
        <x:f>IF(B71="","",SUMIFS('Vendite_Patch'!$F$4:$F$303,'Vendite_Patch'!$L$4:$L$303,B71,'Vendite_Patch'!$I$4:$I$303,"Sì"))</x:f>
      </x:c>
      <x:c r="H71" s="71"/>
      <x:c r="I71" s="71" t="str">
        <x:f>IF(B71="","",MAX(G71-H71,0))</x:f>
      </x:c>
      <x:c r="J71" s="60"/>
    </x:row>
    <x:row r="72" ht="22" customHeight="1">
      <x:c r="A72" s="65"/>
      <x:c r="B72" s="59"/>
      <x:c r="C72" s="68"/>
      <x:c r="D72" s="68" t="str">
        <x:f>IF(B72="","",SUMIFS('Vendite_Patch'!$D$4:$D$303,'Vendite_Patch'!$L$4:$L$303,B72))</x:f>
      </x:c>
      <x:c r="E72" s="68"/>
      <x:c r="F72" s="68" t="str">
        <x:f>IF(B72="","",MAX(C72-D72-E72,0))</x:f>
      </x:c>
      <x:c r="G72" s="71" t="str">
        <x:f>IF(B72="","",SUMIFS('Vendite_Patch'!$F$4:$F$303,'Vendite_Patch'!$L$4:$L$303,B72,'Vendite_Patch'!$I$4:$I$303,"Sì"))</x:f>
      </x:c>
      <x:c r="H72" s="71"/>
      <x:c r="I72" s="71" t="str">
        <x:f>IF(B72="","",MAX(G72-H72,0))</x:f>
      </x:c>
      <x:c r="J72" s="60"/>
    </x:row>
    <x:row r="73" ht="22" customHeight="1">
      <x:c r="A73" s="65"/>
      <x:c r="B73" s="59"/>
      <x:c r="C73" s="68"/>
      <x:c r="D73" s="68" t="str">
        <x:f>IF(B73="","",SUMIFS('Vendite_Patch'!$D$4:$D$303,'Vendite_Patch'!$L$4:$L$303,B73))</x:f>
      </x:c>
      <x:c r="E73" s="68"/>
      <x:c r="F73" s="68" t="str">
        <x:f>IF(B73="","",MAX(C73-D73-E73,0))</x:f>
      </x:c>
      <x:c r="G73" s="71" t="str">
        <x:f>IF(B73="","",SUMIFS('Vendite_Patch'!$F$4:$F$303,'Vendite_Patch'!$L$4:$L$303,B73,'Vendite_Patch'!$I$4:$I$303,"Sì"))</x:f>
      </x:c>
      <x:c r="H73" s="71"/>
      <x:c r="I73" s="71" t="str">
        <x:f>IF(B73="","",MAX(G73-H73,0))</x:f>
      </x:c>
      <x:c r="J73" s="60"/>
    </x:row>
    <x:row r="74" ht="22" customHeight="1">
      <x:c r="A74" s="65"/>
      <x:c r="B74" s="59"/>
      <x:c r="C74" s="68"/>
      <x:c r="D74" s="68" t="str">
        <x:f>IF(B74="","",SUMIFS('Vendite_Patch'!$D$4:$D$303,'Vendite_Patch'!$L$4:$L$303,B74))</x:f>
      </x:c>
      <x:c r="E74" s="68"/>
      <x:c r="F74" s="68" t="str">
        <x:f>IF(B74="","",MAX(C74-D74-E74,0))</x:f>
      </x:c>
      <x:c r="G74" s="71" t="str">
        <x:f>IF(B74="","",SUMIFS('Vendite_Patch'!$F$4:$F$303,'Vendite_Patch'!$L$4:$L$303,B74,'Vendite_Patch'!$I$4:$I$303,"Sì"))</x:f>
      </x:c>
      <x:c r="H74" s="71"/>
      <x:c r="I74" s="71" t="str">
        <x:f>IF(B74="","",MAX(G74-H74,0))</x:f>
      </x:c>
      <x:c r="J74" s="60"/>
    </x:row>
    <x:row r="75" ht="22" customHeight="1">
      <x:c r="A75" s="65"/>
      <x:c r="B75" s="59"/>
      <x:c r="C75" s="68"/>
      <x:c r="D75" s="68" t="str">
        <x:f>IF(B75="","",SUMIFS('Vendite_Patch'!$D$4:$D$303,'Vendite_Patch'!$L$4:$L$303,B75))</x:f>
      </x:c>
      <x:c r="E75" s="68"/>
      <x:c r="F75" s="68" t="str">
        <x:f>IF(B75="","",MAX(C75-D75-E75,0))</x:f>
      </x:c>
      <x:c r="G75" s="71" t="str">
        <x:f>IF(B75="","",SUMIFS('Vendite_Patch'!$F$4:$F$303,'Vendite_Patch'!$L$4:$L$303,B75,'Vendite_Patch'!$I$4:$I$303,"Sì"))</x:f>
      </x:c>
      <x:c r="H75" s="71"/>
      <x:c r="I75" s="71" t="str">
        <x:f>IF(B75="","",MAX(G75-H75,0))</x:f>
      </x:c>
      <x:c r="J75" s="60"/>
    </x:row>
    <x:row r="76" ht="22" customHeight="1">
      <x:c r="A76" s="65"/>
      <x:c r="B76" s="59"/>
      <x:c r="C76" s="68"/>
      <x:c r="D76" s="68" t="str">
        <x:f>IF(B76="","",SUMIFS('Vendite_Patch'!$D$4:$D$303,'Vendite_Patch'!$L$4:$L$303,B76))</x:f>
      </x:c>
      <x:c r="E76" s="68"/>
      <x:c r="F76" s="68" t="str">
        <x:f>IF(B76="","",MAX(C76-D76-E76,0))</x:f>
      </x:c>
      <x:c r="G76" s="71" t="str">
        <x:f>IF(B76="","",SUMIFS('Vendite_Patch'!$F$4:$F$303,'Vendite_Patch'!$L$4:$L$303,B76,'Vendite_Patch'!$I$4:$I$303,"Sì"))</x:f>
      </x:c>
      <x:c r="H76" s="71"/>
      <x:c r="I76" s="71" t="str">
        <x:f>IF(B76="","",MAX(G76-H76,0))</x:f>
      </x:c>
      <x:c r="J76" s="60"/>
    </x:row>
    <x:row r="77" ht="22" customHeight="1">
      <x:c r="A77" s="65"/>
      <x:c r="B77" s="59"/>
      <x:c r="C77" s="68"/>
      <x:c r="D77" s="68" t="str">
        <x:f>IF(B77="","",SUMIFS('Vendite_Patch'!$D$4:$D$303,'Vendite_Patch'!$L$4:$L$303,B77))</x:f>
      </x:c>
      <x:c r="E77" s="68"/>
      <x:c r="F77" s="68" t="str">
        <x:f>IF(B77="","",MAX(C77-D77-E77,0))</x:f>
      </x:c>
      <x:c r="G77" s="71" t="str">
        <x:f>IF(B77="","",SUMIFS('Vendite_Patch'!$F$4:$F$303,'Vendite_Patch'!$L$4:$L$303,B77,'Vendite_Patch'!$I$4:$I$303,"Sì"))</x:f>
      </x:c>
      <x:c r="H77" s="71"/>
      <x:c r="I77" s="71" t="str">
        <x:f>IF(B77="","",MAX(G77-H77,0))</x:f>
      </x:c>
      <x:c r="J77" s="60"/>
    </x:row>
    <x:row r="78" ht="22" customHeight="1">
      <x:c r="A78" s="65"/>
      <x:c r="B78" s="59"/>
      <x:c r="C78" s="68"/>
      <x:c r="D78" s="68" t="str">
        <x:f>IF(B78="","",SUMIFS('Vendite_Patch'!$D$4:$D$303,'Vendite_Patch'!$L$4:$L$303,B78))</x:f>
      </x:c>
      <x:c r="E78" s="68"/>
      <x:c r="F78" s="68" t="str">
        <x:f>IF(B78="","",MAX(C78-D78-E78,0))</x:f>
      </x:c>
      <x:c r="G78" s="71" t="str">
        <x:f>IF(B78="","",SUMIFS('Vendite_Patch'!$F$4:$F$303,'Vendite_Patch'!$L$4:$L$303,B78,'Vendite_Patch'!$I$4:$I$303,"Sì"))</x:f>
      </x:c>
      <x:c r="H78" s="71"/>
      <x:c r="I78" s="71" t="str">
        <x:f>IF(B78="","",MAX(G78-H78,0))</x:f>
      </x:c>
      <x:c r="J78" s="60"/>
    </x:row>
    <x:row r="79" ht="22" customHeight="1">
      <x:c r="A79" s="65"/>
      <x:c r="B79" s="59"/>
      <x:c r="C79" s="68"/>
      <x:c r="D79" s="68" t="str">
        <x:f>IF(B79="","",SUMIFS('Vendite_Patch'!$D$4:$D$303,'Vendite_Patch'!$L$4:$L$303,B79))</x:f>
      </x:c>
      <x:c r="E79" s="68"/>
      <x:c r="F79" s="68" t="str">
        <x:f>IF(B79="","",MAX(C79-D79-E79,0))</x:f>
      </x:c>
      <x:c r="G79" s="71" t="str">
        <x:f>IF(B79="","",SUMIFS('Vendite_Patch'!$F$4:$F$303,'Vendite_Patch'!$L$4:$L$303,B79,'Vendite_Patch'!$I$4:$I$303,"Sì"))</x:f>
      </x:c>
      <x:c r="H79" s="71"/>
      <x:c r="I79" s="71" t="str">
        <x:f>IF(B79="","",MAX(G79-H79,0))</x:f>
      </x:c>
      <x:c r="J79" s="60"/>
    </x:row>
    <x:row r="80" ht="22" customHeight="1">
      <x:c r="A80" s="65"/>
      <x:c r="B80" s="59"/>
      <x:c r="C80" s="68"/>
      <x:c r="D80" s="68" t="str">
        <x:f>IF(B80="","",SUMIFS('Vendite_Patch'!$D$4:$D$303,'Vendite_Patch'!$L$4:$L$303,B80))</x:f>
      </x:c>
      <x:c r="E80" s="68"/>
      <x:c r="F80" s="68" t="str">
        <x:f>IF(B80="","",MAX(C80-D80-E80,0))</x:f>
      </x:c>
      <x:c r="G80" s="71" t="str">
        <x:f>IF(B80="","",SUMIFS('Vendite_Patch'!$F$4:$F$303,'Vendite_Patch'!$L$4:$L$303,B80,'Vendite_Patch'!$I$4:$I$303,"Sì"))</x:f>
      </x:c>
      <x:c r="H80" s="71"/>
      <x:c r="I80" s="71" t="str">
        <x:f>IF(B80="","",MAX(G80-H80,0))</x:f>
      </x:c>
      <x:c r="J80" s="60"/>
    </x:row>
    <x:row r="81" ht="22" customHeight="1">
      <x:c r="A81" s="65"/>
      <x:c r="B81" s="59"/>
      <x:c r="C81" s="68"/>
      <x:c r="D81" s="68" t="str">
        <x:f>IF(B81="","",SUMIFS('Vendite_Patch'!$D$4:$D$303,'Vendite_Patch'!$L$4:$L$303,B81))</x:f>
      </x:c>
      <x:c r="E81" s="68"/>
      <x:c r="F81" s="68" t="str">
        <x:f>IF(B81="","",MAX(C81-D81-E81,0))</x:f>
      </x:c>
      <x:c r="G81" s="71" t="str">
        <x:f>IF(B81="","",SUMIFS('Vendite_Patch'!$F$4:$F$303,'Vendite_Patch'!$L$4:$L$303,B81,'Vendite_Patch'!$I$4:$I$303,"Sì"))</x:f>
      </x:c>
      <x:c r="H81" s="71"/>
      <x:c r="I81" s="71" t="str">
        <x:f>IF(B81="","",MAX(G81-H81,0))</x:f>
      </x:c>
      <x:c r="J81" s="60"/>
    </x:row>
    <x:row r="82" ht="22" customHeight="1">
      <x:c r="A82" s="65"/>
      <x:c r="B82" s="59"/>
      <x:c r="C82" s="68"/>
      <x:c r="D82" s="68" t="str">
        <x:f>IF(B82="","",SUMIFS('Vendite_Patch'!$D$4:$D$303,'Vendite_Patch'!$L$4:$L$303,B82))</x:f>
      </x:c>
      <x:c r="E82" s="68"/>
      <x:c r="F82" s="68" t="str">
        <x:f>IF(B82="","",MAX(C82-D82-E82,0))</x:f>
      </x:c>
      <x:c r="G82" s="71" t="str">
        <x:f>IF(B82="","",SUMIFS('Vendite_Patch'!$F$4:$F$303,'Vendite_Patch'!$L$4:$L$303,B82,'Vendite_Patch'!$I$4:$I$303,"Sì"))</x:f>
      </x:c>
      <x:c r="H82" s="71"/>
      <x:c r="I82" s="71" t="str">
        <x:f>IF(B82="","",MAX(G82-H82,0))</x:f>
      </x:c>
      <x:c r="J82" s="60"/>
    </x:row>
    <x:row r="83" ht="22" customHeight="1">
      <x:c r="A83" s="65"/>
      <x:c r="B83" s="59"/>
      <x:c r="C83" s="68"/>
      <x:c r="D83" s="68" t="str">
        <x:f>IF(B83="","",SUMIFS('Vendite_Patch'!$D$4:$D$303,'Vendite_Patch'!$L$4:$L$303,B83))</x:f>
      </x:c>
      <x:c r="E83" s="68"/>
      <x:c r="F83" s="68" t="str">
        <x:f>IF(B83="","",MAX(C83-D83-E83,0))</x:f>
      </x:c>
      <x:c r="G83" s="71" t="str">
        <x:f>IF(B83="","",SUMIFS('Vendite_Patch'!$F$4:$F$303,'Vendite_Patch'!$L$4:$L$303,B83,'Vendite_Patch'!$I$4:$I$303,"Sì"))</x:f>
      </x:c>
      <x:c r="H83" s="71"/>
      <x:c r="I83" s="71" t="str">
        <x:f>IF(B83="","",MAX(G83-H83,0))</x:f>
      </x:c>
      <x:c r="J83" s="60"/>
    </x:row>
    <x:row r="84" ht="22" customHeight="1">
      <x:c r="A84" s="65"/>
      <x:c r="B84" s="59"/>
      <x:c r="C84" s="68"/>
      <x:c r="D84" s="68" t="str">
        <x:f>IF(B84="","",SUMIFS('Vendite_Patch'!$D$4:$D$303,'Vendite_Patch'!$L$4:$L$303,B84))</x:f>
      </x:c>
      <x:c r="E84" s="68"/>
      <x:c r="F84" s="68" t="str">
        <x:f>IF(B84="","",MAX(C84-D84-E84,0))</x:f>
      </x:c>
      <x:c r="G84" s="71" t="str">
        <x:f>IF(B84="","",SUMIFS('Vendite_Patch'!$F$4:$F$303,'Vendite_Patch'!$L$4:$L$303,B84,'Vendite_Patch'!$I$4:$I$303,"Sì"))</x:f>
      </x:c>
      <x:c r="H84" s="71"/>
      <x:c r="I84" s="71" t="str">
        <x:f>IF(B84="","",MAX(G84-H84,0))</x:f>
      </x:c>
      <x:c r="J84" s="60"/>
    </x:row>
    <x:row r="85" ht="22" customHeight="1">
      <x:c r="A85" s="65"/>
      <x:c r="B85" s="59"/>
      <x:c r="C85" s="68"/>
      <x:c r="D85" s="68" t="str">
        <x:f>IF(B85="","",SUMIFS('Vendite_Patch'!$D$4:$D$303,'Vendite_Patch'!$L$4:$L$303,B85))</x:f>
      </x:c>
      <x:c r="E85" s="68"/>
      <x:c r="F85" s="68" t="str">
        <x:f>IF(B85="","",MAX(C85-D85-E85,0))</x:f>
      </x:c>
      <x:c r="G85" s="71" t="str">
        <x:f>IF(B85="","",SUMIFS('Vendite_Patch'!$F$4:$F$303,'Vendite_Patch'!$L$4:$L$303,B85,'Vendite_Patch'!$I$4:$I$303,"Sì"))</x:f>
      </x:c>
      <x:c r="H85" s="71"/>
      <x:c r="I85" s="71" t="str">
        <x:f>IF(B85="","",MAX(G85-H85,0))</x:f>
      </x:c>
      <x:c r="J85" s="60"/>
    </x:row>
    <x:row r="86" ht="22" customHeight="1">
      <x:c r="A86" s="65"/>
      <x:c r="B86" s="59"/>
      <x:c r="C86" s="68"/>
      <x:c r="D86" s="68" t="str">
        <x:f>IF(B86="","",SUMIFS('Vendite_Patch'!$D$4:$D$303,'Vendite_Patch'!$L$4:$L$303,B86))</x:f>
      </x:c>
      <x:c r="E86" s="68"/>
      <x:c r="F86" s="68" t="str">
        <x:f>IF(B86="","",MAX(C86-D86-E86,0))</x:f>
      </x:c>
      <x:c r="G86" s="71" t="str">
        <x:f>IF(B86="","",SUMIFS('Vendite_Patch'!$F$4:$F$303,'Vendite_Patch'!$L$4:$L$303,B86,'Vendite_Patch'!$I$4:$I$303,"Sì"))</x:f>
      </x:c>
      <x:c r="H86" s="71"/>
      <x:c r="I86" s="71" t="str">
        <x:f>IF(B86="","",MAX(G86-H86,0))</x:f>
      </x:c>
      <x:c r="J86" s="60"/>
    </x:row>
    <x:row r="87" ht="22" customHeight="1">
      <x:c r="A87" s="65"/>
      <x:c r="B87" s="59"/>
      <x:c r="C87" s="68"/>
      <x:c r="D87" s="68" t="str">
        <x:f>IF(B87="","",SUMIFS('Vendite_Patch'!$D$4:$D$303,'Vendite_Patch'!$L$4:$L$303,B87))</x:f>
      </x:c>
      <x:c r="E87" s="68"/>
      <x:c r="F87" s="68" t="str">
        <x:f>IF(B87="","",MAX(C87-D87-E87,0))</x:f>
      </x:c>
      <x:c r="G87" s="71" t="str">
        <x:f>IF(B87="","",SUMIFS('Vendite_Patch'!$F$4:$F$303,'Vendite_Patch'!$L$4:$L$303,B87,'Vendite_Patch'!$I$4:$I$303,"Sì"))</x:f>
      </x:c>
      <x:c r="H87" s="71"/>
      <x:c r="I87" s="71" t="str">
        <x:f>IF(B87="","",MAX(G87-H87,0))</x:f>
      </x:c>
      <x:c r="J87" s="60"/>
    </x:row>
    <x:row r="88" ht="22" customHeight="1">
      <x:c r="A88" s="65"/>
      <x:c r="B88" s="59"/>
      <x:c r="C88" s="68"/>
      <x:c r="D88" s="68" t="str">
        <x:f>IF(B88="","",SUMIFS('Vendite_Patch'!$D$4:$D$303,'Vendite_Patch'!$L$4:$L$303,B88))</x:f>
      </x:c>
      <x:c r="E88" s="68"/>
      <x:c r="F88" s="68" t="str">
        <x:f>IF(B88="","",MAX(C88-D88-E88,0))</x:f>
      </x:c>
      <x:c r="G88" s="71" t="str">
        <x:f>IF(B88="","",SUMIFS('Vendite_Patch'!$F$4:$F$303,'Vendite_Patch'!$L$4:$L$303,B88,'Vendite_Patch'!$I$4:$I$303,"Sì"))</x:f>
      </x:c>
      <x:c r="H88" s="71"/>
      <x:c r="I88" s="71" t="str">
        <x:f>IF(B88="","",MAX(G88-H88,0))</x:f>
      </x:c>
      <x:c r="J88" s="60"/>
    </x:row>
    <x:row r="89" ht="22" customHeight="1">
      <x:c r="A89" s="65"/>
      <x:c r="B89" s="59"/>
      <x:c r="C89" s="68"/>
      <x:c r="D89" s="68" t="str">
        <x:f>IF(B89="","",SUMIFS('Vendite_Patch'!$D$4:$D$303,'Vendite_Patch'!$L$4:$L$303,B89))</x:f>
      </x:c>
      <x:c r="E89" s="68"/>
      <x:c r="F89" s="68" t="str">
        <x:f>IF(B89="","",MAX(C89-D89-E89,0))</x:f>
      </x:c>
      <x:c r="G89" s="71" t="str">
        <x:f>IF(B89="","",SUMIFS('Vendite_Patch'!$F$4:$F$303,'Vendite_Patch'!$L$4:$L$303,B89,'Vendite_Patch'!$I$4:$I$303,"Sì"))</x:f>
      </x:c>
      <x:c r="H89" s="71"/>
      <x:c r="I89" s="71" t="str">
        <x:f>IF(B89="","",MAX(G89-H89,0))</x:f>
      </x:c>
      <x:c r="J89" s="60"/>
    </x:row>
    <x:row r="90" ht="22" customHeight="1">
      <x:c r="A90" s="65"/>
      <x:c r="B90" s="59"/>
      <x:c r="C90" s="68"/>
      <x:c r="D90" s="68" t="str">
        <x:f>IF(B90="","",SUMIFS('Vendite_Patch'!$D$4:$D$303,'Vendite_Patch'!$L$4:$L$303,B90))</x:f>
      </x:c>
      <x:c r="E90" s="68"/>
      <x:c r="F90" s="68" t="str">
        <x:f>IF(B90="","",MAX(C90-D90-E90,0))</x:f>
      </x:c>
      <x:c r="G90" s="71" t="str">
        <x:f>IF(B90="","",SUMIFS('Vendite_Patch'!$F$4:$F$303,'Vendite_Patch'!$L$4:$L$303,B90,'Vendite_Patch'!$I$4:$I$303,"Sì"))</x:f>
      </x:c>
      <x:c r="H90" s="71"/>
      <x:c r="I90" s="71" t="str">
        <x:f>IF(B90="","",MAX(G90-H90,0))</x:f>
      </x:c>
      <x:c r="J90" s="60"/>
    </x:row>
    <x:row r="91" ht="22" customHeight="1">
      <x:c r="A91" s="65"/>
      <x:c r="B91" s="59"/>
      <x:c r="C91" s="68"/>
      <x:c r="D91" s="68" t="str">
        <x:f>IF(B91="","",SUMIFS('Vendite_Patch'!$D$4:$D$303,'Vendite_Patch'!$L$4:$L$303,B91))</x:f>
      </x:c>
      <x:c r="E91" s="68"/>
      <x:c r="F91" s="68" t="str">
        <x:f>IF(B91="","",MAX(C91-D91-E91,0))</x:f>
      </x:c>
      <x:c r="G91" s="71" t="str">
        <x:f>IF(B91="","",SUMIFS('Vendite_Patch'!$F$4:$F$303,'Vendite_Patch'!$L$4:$L$303,B91,'Vendite_Patch'!$I$4:$I$303,"Sì"))</x:f>
      </x:c>
      <x:c r="H91" s="71"/>
      <x:c r="I91" s="71" t="str">
        <x:f>IF(B91="","",MAX(G91-H91,0))</x:f>
      </x:c>
      <x:c r="J91" s="60"/>
    </x:row>
    <x:row r="92" ht="22" customHeight="1">
      <x:c r="A92" s="65"/>
      <x:c r="B92" s="59"/>
      <x:c r="C92" s="68"/>
      <x:c r="D92" s="68" t="str">
        <x:f>IF(B92="","",SUMIFS('Vendite_Patch'!$D$4:$D$303,'Vendite_Patch'!$L$4:$L$303,B92))</x:f>
      </x:c>
      <x:c r="E92" s="68"/>
      <x:c r="F92" s="68" t="str">
        <x:f>IF(B92="","",MAX(C92-D92-E92,0))</x:f>
      </x:c>
      <x:c r="G92" s="71" t="str">
        <x:f>IF(B92="","",SUMIFS('Vendite_Patch'!$F$4:$F$303,'Vendite_Patch'!$L$4:$L$303,B92,'Vendite_Patch'!$I$4:$I$303,"Sì"))</x:f>
      </x:c>
      <x:c r="H92" s="71"/>
      <x:c r="I92" s="71" t="str">
        <x:f>IF(B92="","",MAX(G92-H92,0))</x:f>
      </x:c>
      <x:c r="J92" s="60"/>
    </x:row>
    <x:row r="93" ht="22" customHeight="1">
      <x:c r="A93" s="65"/>
      <x:c r="B93" s="59"/>
      <x:c r="C93" s="68"/>
      <x:c r="D93" s="68" t="str">
        <x:f>IF(B93="","",SUMIFS('Vendite_Patch'!$D$4:$D$303,'Vendite_Patch'!$L$4:$L$303,B93))</x:f>
      </x:c>
      <x:c r="E93" s="68"/>
      <x:c r="F93" s="68" t="str">
        <x:f>IF(B93="","",MAX(C93-D93-E93,0))</x:f>
      </x:c>
      <x:c r="G93" s="71" t="str">
        <x:f>IF(B93="","",SUMIFS('Vendite_Patch'!$F$4:$F$303,'Vendite_Patch'!$L$4:$L$303,B93,'Vendite_Patch'!$I$4:$I$303,"Sì"))</x:f>
      </x:c>
      <x:c r="H93" s="71"/>
      <x:c r="I93" s="71" t="str">
        <x:f>IF(B93="","",MAX(G93-H93,0))</x:f>
      </x:c>
      <x:c r="J93" s="60"/>
    </x:row>
    <x:row r="94" ht="22" customHeight="1">
      <x:c r="A94" s="65"/>
      <x:c r="B94" s="59"/>
      <x:c r="C94" s="68"/>
      <x:c r="D94" s="68" t="str">
        <x:f>IF(B94="","",SUMIFS('Vendite_Patch'!$D$4:$D$303,'Vendite_Patch'!$L$4:$L$303,B94))</x:f>
      </x:c>
      <x:c r="E94" s="68"/>
      <x:c r="F94" s="68" t="str">
        <x:f>IF(B94="","",MAX(C94-D94-E94,0))</x:f>
      </x:c>
      <x:c r="G94" s="71" t="str">
        <x:f>IF(B94="","",SUMIFS('Vendite_Patch'!$F$4:$F$303,'Vendite_Patch'!$L$4:$L$303,B94,'Vendite_Patch'!$I$4:$I$303,"Sì"))</x:f>
      </x:c>
      <x:c r="H94" s="71"/>
      <x:c r="I94" s="71" t="str">
        <x:f>IF(B94="","",MAX(G94-H94,0))</x:f>
      </x:c>
      <x:c r="J94" s="60"/>
    </x:row>
    <x:row r="95" ht="22" customHeight="1">
      <x:c r="A95" s="65"/>
      <x:c r="B95" s="59"/>
      <x:c r="C95" s="68"/>
      <x:c r="D95" s="68" t="str">
        <x:f>IF(B95="","",SUMIFS('Vendite_Patch'!$D$4:$D$303,'Vendite_Patch'!$L$4:$L$303,B95))</x:f>
      </x:c>
      <x:c r="E95" s="68"/>
      <x:c r="F95" s="68" t="str">
        <x:f>IF(B95="","",MAX(C95-D95-E95,0))</x:f>
      </x:c>
      <x:c r="G95" s="71" t="str">
        <x:f>IF(B95="","",SUMIFS('Vendite_Patch'!$F$4:$F$303,'Vendite_Patch'!$L$4:$L$303,B95,'Vendite_Patch'!$I$4:$I$303,"Sì"))</x:f>
      </x:c>
      <x:c r="H95" s="71"/>
      <x:c r="I95" s="71" t="str">
        <x:f>IF(B95="","",MAX(G95-H95,0))</x:f>
      </x:c>
      <x:c r="J95" s="60"/>
    </x:row>
    <x:row r="96" ht="22" customHeight="1">
      <x:c r="A96" s="65"/>
      <x:c r="B96" s="59"/>
      <x:c r="C96" s="68"/>
      <x:c r="D96" s="68" t="str">
        <x:f>IF(B96="","",SUMIFS('Vendite_Patch'!$D$4:$D$303,'Vendite_Patch'!$L$4:$L$303,B96))</x:f>
      </x:c>
      <x:c r="E96" s="68"/>
      <x:c r="F96" s="68" t="str">
        <x:f>IF(B96="","",MAX(C96-D96-E96,0))</x:f>
      </x:c>
      <x:c r="G96" s="71" t="str">
        <x:f>IF(B96="","",SUMIFS('Vendite_Patch'!$F$4:$F$303,'Vendite_Patch'!$L$4:$L$303,B96,'Vendite_Patch'!$I$4:$I$303,"Sì"))</x:f>
      </x:c>
      <x:c r="H96" s="71"/>
      <x:c r="I96" s="71" t="str">
        <x:f>IF(B96="","",MAX(G96-H96,0))</x:f>
      </x:c>
      <x:c r="J96" s="60"/>
    </x:row>
    <x:row r="97" ht="22" customHeight="1">
      <x:c r="A97" s="65"/>
      <x:c r="B97" s="59"/>
      <x:c r="C97" s="68"/>
      <x:c r="D97" s="68" t="str">
        <x:f>IF(B97="","",SUMIFS('Vendite_Patch'!$D$4:$D$303,'Vendite_Patch'!$L$4:$L$303,B97))</x:f>
      </x:c>
      <x:c r="E97" s="68"/>
      <x:c r="F97" s="68" t="str">
        <x:f>IF(B97="","",MAX(C97-D97-E97,0))</x:f>
      </x:c>
      <x:c r="G97" s="71" t="str">
        <x:f>IF(B97="","",SUMIFS('Vendite_Patch'!$F$4:$F$303,'Vendite_Patch'!$L$4:$L$303,B97,'Vendite_Patch'!$I$4:$I$303,"Sì"))</x:f>
      </x:c>
      <x:c r="H97" s="71"/>
      <x:c r="I97" s="71" t="str">
        <x:f>IF(B97="","",MAX(G97-H97,0))</x:f>
      </x:c>
      <x:c r="J97" s="60"/>
    </x:row>
    <x:row r="98" ht="22" customHeight="1">
      <x:c r="A98" s="65"/>
      <x:c r="B98" s="59"/>
      <x:c r="C98" s="68"/>
      <x:c r="D98" s="68" t="str">
        <x:f>IF(B98="","",SUMIFS('Vendite_Patch'!$D$4:$D$303,'Vendite_Patch'!$L$4:$L$303,B98))</x:f>
      </x:c>
      <x:c r="E98" s="68"/>
      <x:c r="F98" s="68" t="str">
        <x:f>IF(B98="","",MAX(C98-D98-E98,0))</x:f>
      </x:c>
      <x:c r="G98" s="71" t="str">
        <x:f>IF(B98="","",SUMIFS('Vendite_Patch'!$F$4:$F$303,'Vendite_Patch'!$L$4:$L$303,B98,'Vendite_Patch'!$I$4:$I$303,"Sì"))</x:f>
      </x:c>
      <x:c r="H98" s="71"/>
      <x:c r="I98" s="71" t="str">
        <x:f>IF(B98="","",MAX(G98-H98,0))</x:f>
      </x:c>
      <x:c r="J98" s="60"/>
    </x:row>
    <x:row r="99" ht="22" customHeight="1">
      <x:c r="A99" s="65"/>
      <x:c r="B99" s="59"/>
      <x:c r="C99" s="68"/>
      <x:c r="D99" s="68" t="str">
        <x:f>IF(B99="","",SUMIFS('Vendite_Patch'!$D$4:$D$303,'Vendite_Patch'!$L$4:$L$303,B99))</x:f>
      </x:c>
      <x:c r="E99" s="68"/>
      <x:c r="F99" s="68" t="str">
        <x:f>IF(B99="","",MAX(C99-D99-E99,0))</x:f>
      </x:c>
      <x:c r="G99" s="71" t="str">
        <x:f>IF(B99="","",SUMIFS('Vendite_Patch'!$F$4:$F$303,'Vendite_Patch'!$L$4:$L$303,B99,'Vendite_Patch'!$I$4:$I$303,"Sì"))</x:f>
      </x:c>
      <x:c r="H99" s="71"/>
      <x:c r="I99" s="71" t="str">
        <x:f>IF(B99="","",MAX(G99-H99,0))</x:f>
      </x:c>
      <x:c r="J99" s="60"/>
    </x:row>
    <x:row r="100" ht="22" customHeight="1">
      <x:c r="A100" s="65"/>
      <x:c r="B100" s="59"/>
      <x:c r="C100" s="68"/>
      <x:c r="D100" s="68" t="str">
        <x:f>IF(B100="","",SUMIFS('Vendite_Patch'!$D$4:$D$303,'Vendite_Patch'!$L$4:$L$303,B100))</x:f>
      </x:c>
      <x:c r="E100" s="68"/>
      <x:c r="F100" s="68" t="str">
        <x:f>IF(B100="","",MAX(C100-D100-E100,0))</x:f>
      </x:c>
      <x:c r="G100" s="71" t="str">
        <x:f>IF(B100="","",SUMIFS('Vendite_Patch'!$F$4:$F$303,'Vendite_Patch'!$L$4:$L$303,B100,'Vendite_Patch'!$I$4:$I$303,"Sì"))</x:f>
      </x:c>
      <x:c r="H100" s="71"/>
      <x:c r="I100" s="71" t="str">
        <x:f>IF(B100="","",MAX(G100-H100,0))</x:f>
      </x:c>
      <x:c r="J100" s="60"/>
    </x:row>
    <x:row r="101" ht="22" customHeight="1">
      <x:c r="A101" s="65"/>
      <x:c r="B101" s="59"/>
      <x:c r="C101" s="68"/>
      <x:c r="D101" s="68" t="str">
        <x:f>IF(B101="","",SUMIFS('Vendite_Patch'!$D$4:$D$303,'Vendite_Patch'!$L$4:$L$303,B101))</x:f>
      </x:c>
      <x:c r="E101" s="68"/>
      <x:c r="F101" s="68" t="str">
        <x:f>IF(B101="","",MAX(C101-D101-E101,0))</x:f>
      </x:c>
      <x:c r="G101" s="71" t="str">
        <x:f>IF(B101="","",SUMIFS('Vendite_Patch'!$F$4:$F$303,'Vendite_Patch'!$L$4:$L$303,B101,'Vendite_Patch'!$I$4:$I$303,"Sì"))</x:f>
      </x:c>
      <x:c r="H101" s="71"/>
      <x:c r="I101" s="71" t="str">
        <x:f>IF(B101="","",MAX(G101-H101,0))</x:f>
      </x:c>
      <x:c r="J101" s="60"/>
    </x:row>
    <x:row r="102" ht="22" customHeight="1">
      <x:c r="A102" s="65"/>
      <x:c r="B102" s="59"/>
      <x:c r="C102" s="68"/>
      <x:c r="D102" s="68" t="str">
        <x:f>IF(B102="","",SUMIFS('Vendite_Patch'!$D$4:$D$303,'Vendite_Patch'!$L$4:$L$303,B102))</x:f>
      </x:c>
      <x:c r="E102" s="68"/>
      <x:c r="F102" s="68" t="str">
        <x:f>IF(B102="","",MAX(C102-D102-E102,0))</x:f>
      </x:c>
      <x:c r="G102" s="71" t="str">
        <x:f>IF(B102="","",SUMIFS('Vendite_Patch'!$F$4:$F$303,'Vendite_Patch'!$L$4:$L$303,B102,'Vendite_Patch'!$I$4:$I$303,"Sì"))</x:f>
      </x:c>
      <x:c r="H102" s="71"/>
      <x:c r="I102" s="71" t="str">
        <x:f>IF(B102="","",MAX(G102-H102,0))</x:f>
      </x:c>
      <x:c r="J102" s="60"/>
    </x:row>
    <x:row r="103" ht="22" customHeight="1">
      <x:c r="A103" s="65"/>
      <x:c r="B103" s="59"/>
      <x:c r="C103" s="68"/>
      <x:c r="D103" s="68" t="str">
        <x:f>IF(B103="","",SUMIFS('Vendite_Patch'!$D$4:$D$303,'Vendite_Patch'!$L$4:$L$303,B103))</x:f>
      </x:c>
      <x:c r="E103" s="68"/>
      <x:c r="F103" s="68" t="str">
        <x:f>IF(B103="","",MAX(C103-D103-E103,0))</x:f>
      </x:c>
      <x:c r="G103" s="71" t="str">
        <x:f>IF(B103="","",SUMIFS('Vendite_Patch'!$F$4:$F$303,'Vendite_Patch'!$L$4:$L$303,B103,'Vendite_Patch'!$I$4:$I$303,"Sì"))</x:f>
      </x:c>
      <x:c r="H103" s="71"/>
      <x:c r="I103" s="71" t="str">
        <x:f>IF(B103="","",MAX(G103-H103,0))</x:f>
      </x:c>
      <x:c r="J103" s="60"/>
    </x:row>
    <x:row r="104" ht="22" customHeight="1">
      <x:c r="A104" s="65"/>
      <x:c r="B104" s="59"/>
      <x:c r="C104" s="68"/>
      <x:c r="D104" s="68" t="str">
        <x:f>IF(B104="","",SUMIFS('Vendite_Patch'!$D$4:$D$303,'Vendite_Patch'!$L$4:$L$303,B104))</x:f>
      </x:c>
      <x:c r="E104" s="68"/>
      <x:c r="F104" s="68" t="str">
        <x:f>IF(B104="","",MAX(C104-D104-E104,0))</x:f>
      </x:c>
      <x:c r="G104" s="71" t="str">
        <x:f>IF(B104="","",SUMIFS('Vendite_Patch'!$F$4:$F$303,'Vendite_Patch'!$L$4:$L$303,B104,'Vendite_Patch'!$I$4:$I$303,"Sì"))</x:f>
      </x:c>
      <x:c r="H104" s="71"/>
      <x:c r="I104" s="71" t="str">
        <x:f>IF(B104="","",MAX(G104-H104,0))</x:f>
      </x:c>
      <x:c r="J104" s="60"/>
    </x:row>
    <x:row r="105" ht="22" customHeight="1">
      <x:c r="A105" s="65"/>
      <x:c r="B105" s="59"/>
      <x:c r="C105" s="68"/>
      <x:c r="D105" s="68" t="str">
        <x:f>IF(B105="","",SUMIFS('Vendite_Patch'!$D$4:$D$303,'Vendite_Patch'!$L$4:$L$303,B105))</x:f>
      </x:c>
      <x:c r="E105" s="68"/>
      <x:c r="F105" s="68" t="str">
        <x:f>IF(B105="","",MAX(C105-D105-E105,0))</x:f>
      </x:c>
      <x:c r="G105" s="71" t="str">
        <x:f>IF(B105="","",SUMIFS('Vendite_Patch'!$F$4:$F$303,'Vendite_Patch'!$L$4:$L$303,B105,'Vendite_Patch'!$I$4:$I$303,"Sì"))</x:f>
      </x:c>
      <x:c r="H105" s="71"/>
      <x:c r="I105" s="71" t="str">
        <x:f>IF(B105="","",MAX(G105-H105,0))</x:f>
      </x:c>
      <x:c r="J105" s="60"/>
    </x:row>
    <x:row r="106" ht="22" customHeight="1">
      <x:c r="A106" s="65"/>
      <x:c r="B106" s="59"/>
      <x:c r="C106" s="68"/>
      <x:c r="D106" s="68" t="str">
        <x:f>IF(B106="","",SUMIFS('Vendite_Patch'!$D$4:$D$303,'Vendite_Patch'!$L$4:$L$303,B106))</x:f>
      </x:c>
      <x:c r="E106" s="68"/>
      <x:c r="F106" s="68" t="str">
        <x:f>IF(B106="","",MAX(C106-D106-E106,0))</x:f>
      </x:c>
      <x:c r="G106" s="71" t="str">
        <x:f>IF(B106="","",SUMIFS('Vendite_Patch'!$F$4:$F$303,'Vendite_Patch'!$L$4:$L$303,B106,'Vendite_Patch'!$I$4:$I$303,"Sì"))</x:f>
      </x:c>
      <x:c r="H106" s="71"/>
      <x:c r="I106" s="71" t="str">
        <x:f>IF(B106="","",MAX(G106-H106,0))</x:f>
      </x:c>
      <x:c r="J106" s="60"/>
    </x:row>
    <x:row r="107" ht="22" customHeight="1">
      <x:c r="A107" s="65"/>
      <x:c r="B107" s="59"/>
      <x:c r="C107" s="68"/>
      <x:c r="D107" s="68" t="str">
        <x:f>IF(B107="","",SUMIFS('Vendite_Patch'!$D$4:$D$303,'Vendite_Patch'!$L$4:$L$303,B107))</x:f>
      </x:c>
      <x:c r="E107" s="68"/>
      <x:c r="F107" s="68" t="str">
        <x:f>IF(B107="","",MAX(C107-D107-E107,0))</x:f>
      </x:c>
      <x:c r="G107" s="71" t="str">
        <x:f>IF(B107="","",SUMIFS('Vendite_Patch'!$F$4:$F$303,'Vendite_Patch'!$L$4:$L$303,B107,'Vendite_Patch'!$I$4:$I$303,"Sì"))</x:f>
      </x:c>
      <x:c r="H107" s="71"/>
      <x:c r="I107" s="71" t="str">
        <x:f>IF(B107="","",MAX(G107-H107,0))</x:f>
      </x:c>
      <x:c r="J107" s="60"/>
    </x:row>
    <x:row r="108" ht="22" customHeight="1">
      <x:c r="A108" s="65"/>
      <x:c r="B108" s="59"/>
      <x:c r="C108" s="68"/>
      <x:c r="D108" s="68" t="str">
        <x:f>IF(B108="","",SUMIFS('Vendite_Patch'!$D$4:$D$303,'Vendite_Patch'!$L$4:$L$303,B108))</x:f>
      </x:c>
      <x:c r="E108" s="68"/>
      <x:c r="F108" s="68" t="str">
        <x:f>IF(B108="","",MAX(C108-D108-E108,0))</x:f>
      </x:c>
      <x:c r="G108" s="71" t="str">
        <x:f>IF(B108="","",SUMIFS('Vendite_Patch'!$F$4:$F$303,'Vendite_Patch'!$L$4:$L$303,B108,'Vendite_Patch'!$I$4:$I$303,"Sì"))</x:f>
      </x:c>
      <x:c r="H108" s="71"/>
      <x:c r="I108" s="71" t="str">
        <x:f>IF(B108="","",MAX(G108-H108,0))</x:f>
      </x:c>
      <x:c r="J108" s="60"/>
    </x:row>
    <x:row r="109" ht="22" customHeight="1">
      <x:c r="A109" s="65"/>
      <x:c r="B109" s="59"/>
      <x:c r="C109" s="68"/>
      <x:c r="D109" s="68" t="str">
        <x:f>IF(B109="","",SUMIFS('Vendite_Patch'!$D$4:$D$303,'Vendite_Patch'!$L$4:$L$303,B109))</x:f>
      </x:c>
      <x:c r="E109" s="68"/>
      <x:c r="F109" s="68" t="str">
        <x:f>IF(B109="","",MAX(C109-D109-E109,0))</x:f>
      </x:c>
      <x:c r="G109" s="71" t="str">
        <x:f>IF(B109="","",SUMIFS('Vendite_Patch'!$F$4:$F$303,'Vendite_Patch'!$L$4:$L$303,B109,'Vendite_Patch'!$I$4:$I$303,"Sì"))</x:f>
      </x:c>
      <x:c r="H109" s="71"/>
      <x:c r="I109" s="71" t="str">
        <x:f>IF(B109="","",MAX(G109-H109,0))</x:f>
      </x:c>
      <x:c r="J109" s="60"/>
    </x:row>
    <x:row r="110" ht="22" customHeight="1">
      <x:c r="A110" s="65"/>
      <x:c r="B110" s="59"/>
      <x:c r="C110" s="68"/>
      <x:c r="D110" s="68" t="str">
        <x:f>IF(B110="","",SUMIFS('Vendite_Patch'!$D$4:$D$303,'Vendite_Patch'!$L$4:$L$303,B110))</x:f>
      </x:c>
      <x:c r="E110" s="68"/>
      <x:c r="F110" s="68" t="str">
        <x:f>IF(B110="","",MAX(C110-D110-E110,0))</x:f>
      </x:c>
      <x:c r="G110" s="71" t="str">
        <x:f>IF(B110="","",SUMIFS('Vendite_Patch'!$F$4:$F$303,'Vendite_Patch'!$L$4:$L$303,B110,'Vendite_Patch'!$I$4:$I$303,"Sì"))</x:f>
      </x:c>
      <x:c r="H110" s="71"/>
      <x:c r="I110" s="71" t="str">
        <x:f>IF(B110="","",MAX(G110-H110,0))</x:f>
      </x:c>
      <x:c r="J110" s="60"/>
    </x:row>
    <x:row r="111" ht="22" customHeight="1">
      <x:c r="A111" s="65"/>
      <x:c r="B111" s="59"/>
      <x:c r="C111" s="68"/>
      <x:c r="D111" s="68" t="str">
        <x:f>IF(B111="","",SUMIFS('Vendite_Patch'!$D$4:$D$303,'Vendite_Patch'!$L$4:$L$303,B111))</x:f>
      </x:c>
      <x:c r="E111" s="68"/>
      <x:c r="F111" s="68" t="str">
        <x:f>IF(B111="","",MAX(C111-D111-E111,0))</x:f>
      </x:c>
      <x:c r="G111" s="71" t="str">
        <x:f>IF(B111="","",SUMIFS('Vendite_Patch'!$F$4:$F$303,'Vendite_Patch'!$L$4:$L$303,B111,'Vendite_Patch'!$I$4:$I$303,"Sì"))</x:f>
      </x:c>
      <x:c r="H111" s="71"/>
      <x:c r="I111" s="71" t="str">
        <x:f>IF(B111="","",MAX(G111-H111,0))</x:f>
      </x:c>
      <x:c r="J111" s="60"/>
    </x:row>
    <x:row r="112" ht="22" customHeight="1">
      <x:c r="A112" s="65"/>
      <x:c r="B112" s="59"/>
      <x:c r="C112" s="68"/>
      <x:c r="D112" s="68" t="str">
        <x:f>IF(B112="","",SUMIFS('Vendite_Patch'!$D$4:$D$303,'Vendite_Patch'!$L$4:$L$303,B112))</x:f>
      </x:c>
      <x:c r="E112" s="68"/>
      <x:c r="F112" s="68" t="str">
        <x:f>IF(B112="","",MAX(C112-D112-E112,0))</x:f>
      </x:c>
      <x:c r="G112" s="71" t="str">
        <x:f>IF(B112="","",SUMIFS('Vendite_Patch'!$F$4:$F$303,'Vendite_Patch'!$L$4:$L$303,B112,'Vendite_Patch'!$I$4:$I$303,"Sì"))</x:f>
      </x:c>
      <x:c r="H112" s="71"/>
      <x:c r="I112" s="71" t="str">
        <x:f>IF(B112="","",MAX(G112-H112,0))</x:f>
      </x:c>
      <x:c r="J112" s="60"/>
    </x:row>
    <x:row r="113" ht="22" customHeight="1">
      <x:c r="A113" s="65"/>
      <x:c r="B113" s="59"/>
      <x:c r="C113" s="68"/>
      <x:c r="D113" s="68" t="str">
        <x:f>IF(B113="","",SUMIFS('Vendite_Patch'!$D$4:$D$303,'Vendite_Patch'!$L$4:$L$303,B113))</x:f>
      </x:c>
      <x:c r="E113" s="68"/>
      <x:c r="F113" s="68" t="str">
        <x:f>IF(B113="","",MAX(C113-D113-E113,0))</x:f>
      </x:c>
      <x:c r="G113" s="71" t="str">
        <x:f>IF(B113="","",SUMIFS('Vendite_Patch'!$F$4:$F$303,'Vendite_Patch'!$L$4:$L$303,B113,'Vendite_Patch'!$I$4:$I$303,"Sì"))</x:f>
      </x:c>
      <x:c r="H113" s="71"/>
      <x:c r="I113" s="71" t="str">
        <x:f>IF(B113="","",MAX(G113-H113,0))</x:f>
      </x:c>
      <x:c r="J113" s="60"/>
    </x:row>
    <x:row r="114" ht="22" customHeight="1">
      <x:c r="A114" s="65"/>
      <x:c r="B114" s="59"/>
      <x:c r="C114" s="68"/>
      <x:c r="D114" s="68" t="str">
        <x:f>IF(B114="","",SUMIFS('Vendite_Patch'!$D$4:$D$303,'Vendite_Patch'!$L$4:$L$303,B114))</x:f>
      </x:c>
      <x:c r="E114" s="68"/>
      <x:c r="F114" s="68" t="str">
        <x:f>IF(B114="","",MAX(C114-D114-E114,0))</x:f>
      </x:c>
      <x:c r="G114" s="71" t="str">
        <x:f>IF(B114="","",SUMIFS('Vendite_Patch'!$F$4:$F$303,'Vendite_Patch'!$L$4:$L$303,B114,'Vendite_Patch'!$I$4:$I$303,"Sì"))</x:f>
      </x:c>
      <x:c r="H114" s="71"/>
      <x:c r="I114" s="71" t="str">
        <x:f>IF(B114="","",MAX(G114-H114,0))</x:f>
      </x:c>
      <x:c r="J114" s="60"/>
    </x:row>
    <x:row r="115" ht="22" customHeight="1">
      <x:c r="A115" s="65"/>
      <x:c r="B115" s="59"/>
      <x:c r="C115" s="68"/>
      <x:c r="D115" s="68" t="str">
        <x:f>IF(B115="","",SUMIFS('Vendite_Patch'!$D$4:$D$303,'Vendite_Patch'!$L$4:$L$303,B115))</x:f>
      </x:c>
      <x:c r="E115" s="68"/>
      <x:c r="F115" s="68" t="str">
        <x:f>IF(B115="","",MAX(C115-D115-E115,0))</x:f>
      </x:c>
      <x:c r="G115" s="71" t="str">
        <x:f>IF(B115="","",SUMIFS('Vendite_Patch'!$F$4:$F$303,'Vendite_Patch'!$L$4:$L$303,B115,'Vendite_Patch'!$I$4:$I$303,"Sì"))</x:f>
      </x:c>
      <x:c r="H115" s="71"/>
      <x:c r="I115" s="71" t="str">
        <x:f>IF(B115="","",MAX(G115-H115,0))</x:f>
      </x:c>
      <x:c r="J115" s="60"/>
    </x:row>
    <x:row r="116" ht="22" customHeight="1">
      <x:c r="A116" s="65"/>
      <x:c r="B116" s="59"/>
      <x:c r="C116" s="68"/>
      <x:c r="D116" s="68" t="str">
        <x:f>IF(B116="","",SUMIFS('Vendite_Patch'!$D$4:$D$303,'Vendite_Patch'!$L$4:$L$303,B116))</x:f>
      </x:c>
      <x:c r="E116" s="68"/>
      <x:c r="F116" s="68" t="str">
        <x:f>IF(B116="","",MAX(C116-D116-E116,0))</x:f>
      </x:c>
      <x:c r="G116" s="71" t="str">
        <x:f>IF(B116="","",SUMIFS('Vendite_Patch'!$F$4:$F$303,'Vendite_Patch'!$L$4:$L$303,B116,'Vendite_Patch'!$I$4:$I$303,"Sì"))</x:f>
      </x:c>
      <x:c r="H116" s="71"/>
      <x:c r="I116" s="71" t="str">
        <x:f>IF(B116="","",MAX(G116-H116,0))</x:f>
      </x:c>
      <x:c r="J116" s="60"/>
    </x:row>
    <x:row r="117" ht="22" customHeight="1">
      <x:c r="A117" s="65"/>
      <x:c r="B117" s="59"/>
      <x:c r="C117" s="68"/>
      <x:c r="D117" s="68" t="str">
        <x:f>IF(B117="","",SUMIFS('Vendite_Patch'!$D$4:$D$303,'Vendite_Patch'!$L$4:$L$303,B117))</x:f>
      </x:c>
      <x:c r="E117" s="68"/>
      <x:c r="F117" s="68" t="str">
        <x:f>IF(B117="","",MAX(C117-D117-E117,0))</x:f>
      </x:c>
      <x:c r="G117" s="71" t="str">
        <x:f>IF(B117="","",SUMIFS('Vendite_Patch'!$F$4:$F$303,'Vendite_Patch'!$L$4:$L$303,B117,'Vendite_Patch'!$I$4:$I$303,"Sì"))</x:f>
      </x:c>
      <x:c r="H117" s="71"/>
      <x:c r="I117" s="71" t="str">
        <x:f>IF(B117="","",MAX(G117-H117,0))</x:f>
      </x:c>
      <x:c r="J117" s="60"/>
    </x:row>
    <x:row r="118" ht="22" customHeight="1">
      <x:c r="A118" s="65"/>
      <x:c r="B118" s="59"/>
      <x:c r="C118" s="68"/>
      <x:c r="D118" s="68" t="str">
        <x:f>IF(B118="","",SUMIFS('Vendite_Patch'!$D$4:$D$303,'Vendite_Patch'!$L$4:$L$303,B118))</x:f>
      </x:c>
      <x:c r="E118" s="68"/>
      <x:c r="F118" s="68" t="str">
        <x:f>IF(B118="","",MAX(C118-D118-E118,0))</x:f>
      </x:c>
      <x:c r="G118" s="71" t="str">
        <x:f>IF(B118="","",SUMIFS('Vendite_Patch'!$F$4:$F$303,'Vendite_Patch'!$L$4:$L$303,B118,'Vendite_Patch'!$I$4:$I$303,"Sì"))</x:f>
      </x:c>
      <x:c r="H118" s="71"/>
      <x:c r="I118" s="71" t="str">
        <x:f>IF(B118="","",MAX(G118-H118,0))</x:f>
      </x:c>
      <x:c r="J118" s="60"/>
    </x:row>
    <x:row r="119" ht="22" customHeight="1">
      <x:c r="A119" s="65"/>
      <x:c r="B119" s="59"/>
      <x:c r="C119" s="68"/>
      <x:c r="D119" s="68" t="str">
        <x:f>IF(B119="","",SUMIFS('Vendite_Patch'!$D$4:$D$303,'Vendite_Patch'!$L$4:$L$303,B119))</x:f>
      </x:c>
      <x:c r="E119" s="68"/>
      <x:c r="F119" s="68" t="str">
        <x:f>IF(B119="","",MAX(C119-D119-E119,0))</x:f>
      </x:c>
      <x:c r="G119" s="71" t="str">
        <x:f>IF(B119="","",SUMIFS('Vendite_Patch'!$F$4:$F$303,'Vendite_Patch'!$L$4:$L$303,B119,'Vendite_Patch'!$I$4:$I$303,"Sì"))</x:f>
      </x:c>
      <x:c r="H119" s="71"/>
      <x:c r="I119" s="71" t="str">
        <x:f>IF(B119="","",MAX(G119-H119,0))</x:f>
      </x:c>
      <x:c r="J119" s="60"/>
    </x:row>
    <x:row r="120" ht="22" customHeight="1">
      <x:c r="A120" s="65"/>
      <x:c r="B120" s="59"/>
      <x:c r="C120" s="68"/>
      <x:c r="D120" s="68" t="str">
        <x:f>IF(B120="","",SUMIFS('Vendite_Patch'!$D$4:$D$303,'Vendite_Patch'!$L$4:$L$303,B120))</x:f>
      </x:c>
      <x:c r="E120" s="68"/>
      <x:c r="F120" s="68" t="str">
        <x:f>IF(B120="","",MAX(C120-D120-E120,0))</x:f>
      </x:c>
      <x:c r="G120" s="71" t="str">
        <x:f>IF(B120="","",SUMIFS('Vendite_Patch'!$F$4:$F$303,'Vendite_Patch'!$L$4:$L$303,B120,'Vendite_Patch'!$I$4:$I$303,"Sì"))</x:f>
      </x:c>
      <x:c r="H120" s="71"/>
      <x:c r="I120" s="71" t="str">
        <x:f>IF(B120="","",MAX(G120-H120,0))</x:f>
      </x:c>
      <x:c r="J120" s="60"/>
    </x:row>
    <x:row r="121" ht="22" customHeight="1">
      <x:c r="A121" s="65"/>
      <x:c r="B121" s="59"/>
      <x:c r="C121" s="68"/>
      <x:c r="D121" s="68" t="str">
        <x:f>IF(B121="","",SUMIFS('Vendite_Patch'!$D$4:$D$303,'Vendite_Patch'!$L$4:$L$303,B121))</x:f>
      </x:c>
      <x:c r="E121" s="68"/>
      <x:c r="F121" s="68" t="str">
        <x:f>IF(B121="","",MAX(C121-D121-E121,0))</x:f>
      </x:c>
      <x:c r="G121" s="71" t="str">
        <x:f>IF(B121="","",SUMIFS('Vendite_Patch'!$F$4:$F$303,'Vendite_Patch'!$L$4:$L$303,B121,'Vendite_Patch'!$I$4:$I$303,"Sì"))</x:f>
      </x:c>
      <x:c r="H121" s="71"/>
      <x:c r="I121" s="71" t="str">
        <x:f>IF(B121="","",MAX(G121-H121,0))</x:f>
      </x:c>
      <x:c r="J121" s="60"/>
    </x:row>
    <x:row r="122" ht="22" customHeight="1">
      <x:c r="A122" s="65"/>
      <x:c r="B122" s="59"/>
      <x:c r="C122" s="68"/>
      <x:c r="D122" s="68" t="str">
        <x:f>IF(B122="","",SUMIFS('Vendite_Patch'!$D$4:$D$303,'Vendite_Patch'!$L$4:$L$303,B122))</x:f>
      </x:c>
      <x:c r="E122" s="68"/>
      <x:c r="F122" s="68" t="str">
        <x:f>IF(B122="","",MAX(C122-D122-E122,0))</x:f>
      </x:c>
      <x:c r="G122" s="71" t="str">
        <x:f>IF(B122="","",SUMIFS('Vendite_Patch'!$F$4:$F$303,'Vendite_Patch'!$L$4:$L$303,B122,'Vendite_Patch'!$I$4:$I$303,"Sì"))</x:f>
      </x:c>
      <x:c r="H122" s="71"/>
      <x:c r="I122" s="71" t="str">
        <x:f>IF(B122="","",MAX(G122-H122,0))</x:f>
      </x:c>
      <x:c r="J122" s="60"/>
    </x:row>
    <x:row r="123" ht="22" customHeight="1">
      <x:c r="A123" s="65"/>
      <x:c r="B123" s="59"/>
      <x:c r="C123" s="68"/>
      <x:c r="D123" s="68" t="str">
        <x:f>IF(B123="","",SUMIFS('Vendite_Patch'!$D$4:$D$303,'Vendite_Patch'!$L$4:$L$303,B123))</x:f>
      </x:c>
      <x:c r="E123" s="68"/>
      <x:c r="F123" s="68" t="str">
        <x:f>IF(B123="","",MAX(C123-D123-E123,0))</x:f>
      </x:c>
      <x:c r="G123" s="71" t="str">
        <x:f>IF(B123="","",SUMIFS('Vendite_Patch'!$F$4:$F$303,'Vendite_Patch'!$L$4:$L$303,B123,'Vendite_Patch'!$I$4:$I$303,"Sì"))</x:f>
      </x:c>
      <x:c r="H123" s="71"/>
      <x:c r="I123" s="71" t="str">
        <x:f>IF(B123="","",MAX(G123-H123,0))</x:f>
      </x:c>
      <x:c r="J123" s="60"/>
    </x:row>
    <x:row r="124" ht="22" customHeight="1">
      <x:c r="A124" s="65"/>
      <x:c r="B124" s="59"/>
      <x:c r="C124" s="68"/>
      <x:c r="D124" s="68" t="str">
        <x:f>IF(B124="","",SUMIFS('Vendite_Patch'!$D$4:$D$303,'Vendite_Patch'!$L$4:$L$303,B124))</x:f>
      </x:c>
      <x:c r="E124" s="68"/>
      <x:c r="F124" s="68" t="str">
        <x:f>IF(B124="","",MAX(C124-D124-E124,0))</x:f>
      </x:c>
      <x:c r="G124" s="71" t="str">
        <x:f>IF(B124="","",SUMIFS('Vendite_Patch'!$F$4:$F$303,'Vendite_Patch'!$L$4:$L$303,B124,'Vendite_Patch'!$I$4:$I$303,"Sì"))</x:f>
      </x:c>
      <x:c r="H124" s="71"/>
      <x:c r="I124" s="71" t="str">
        <x:f>IF(B124="","",MAX(G124-H124,0))</x:f>
      </x:c>
      <x:c r="J124" s="60"/>
    </x:row>
    <x:row r="125" ht="22" customHeight="1">
      <x:c r="A125" s="65"/>
      <x:c r="B125" s="59"/>
      <x:c r="C125" s="68"/>
      <x:c r="D125" s="68" t="str">
        <x:f>IF(B125="","",SUMIFS('Vendite_Patch'!$D$4:$D$303,'Vendite_Patch'!$L$4:$L$303,B125))</x:f>
      </x:c>
      <x:c r="E125" s="68"/>
      <x:c r="F125" s="68" t="str">
        <x:f>IF(B125="","",MAX(C125-D125-E125,0))</x:f>
      </x:c>
      <x:c r="G125" s="71" t="str">
        <x:f>IF(B125="","",SUMIFS('Vendite_Patch'!$F$4:$F$303,'Vendite_Patch'!$L$4:$L$303,B125,'Vendite_Patch'!$I$4:$I$303,"Sì"))</x:f>
      </x:c>
      <x:c r="H125" s="71"/>
      <x:c r="I125" s="71" t="str">
        <x:f>IF(B125="","",MAX(G125-H125,0))</x:f>
      </x:c>
      <x:c r="J125" s="60"/>
    </x:row>
    <x:row r="126" ht="22" customHeight="1">
      <x:c r="A126" s="65"/>
      <x:c r="B126" s="59"/>
      <x:c r="C126" s="68"/>
      <x:c r="D126" s="68" t="str">
        <x:f>IF(B126="","",SUMIFS('Vendite_Patch'!$D$4:$D$303,'Vendite_Patch'!$L$4:$L$303,B126))</x:f>
      </x:c>
      <x:c r="E126" s="68"/>
      <x:c r="F126" s="68" t="str">
        <x:f>IF(B126="","",MAX(C126-D126-E126,0))</x:f>
      </x:c>
      <x:c r="G126" s="71" t="str">
        <x:f>IF(B126="","",SUMIFS('Vendite_Patch'!$F$4:$F$303,'Vendite_Patch'!$L$4:$L$303,B126,'Vendite_Patch'!$I$4:$I$303,"Sì"))</x:f>
      </x:c>
      <x:c r="H126" s="71"/>
      <x:c r="I126" s="71" t="str">
        <x:f>IF(B126="","",MAX(G126-H126,0))</x:f>
      </x:c>
      <x:c r="J126" s="60"/>
    </x:row>
    <x:row r="127" ht="22" customHeight="1">
      <x:c r="A127" s="65"/>
      <x:c r="B127" s="59"/>
      <x:c r="C127" s="68"/>
      <x:c r="D127" s="68" t="str">
        <x:f>IF(B127="","",SUMIFS('Vendite_Patch'!$D$4:$D$303,'Vendite_Patch'!$L$4:$L$303,B127))</x:f>
      </x:c>
      <x:c r="E127" s="68"/>
      <x:c r="F127" s="68" t="str">
        <x:f>IF(B127="","",MAX(C127-D127-E127,0))</x:f>
      </x:c>
      <x:c r="G127" s="71" t="str">
        <x:f>IF(B127="","",SUMIFS('Vendite_Patch'!$F$4:$F$303,'Vendite_Patch'!$L$4:$L$303,B127,'Vendite_Patch'!$I$4:$I$303,"Sì"))</x:f>
      </x:c>
      <x:c r="H127" s="71"/>
      <x:c r="I127" s="71" t="str">
        <x:f>IF(B127="","",MAX(G127-H127,0))</x:f>
      </x:c>
      <x:c r="J127" s="60"/>
    </x:row>
    <x:row r="128" ht="22" customHeight="1">
      <x:c r="A128" s="65"/>
      <x:c r="B128" s="59"/>
      <x:c r="C128" s="68"/>
      <x:c r="D128" s="68" t="str">
        <x:f>IF(B128="","",SUMIFS('Vendite_Patch'!$D$4:$D$303,'Vendite_Patch'!$L$4:$L$303,B128))</x:f>
      </x:c>
      <x:c r="E128" s="68"/>
      <x:c r="F128" s="68" t="str">
        <x:f>IF(B128="","",MAX(C128-D128-E128,0))</x:f>
      </x:c>
      <x:c r="G128" s="71" t="str">
        <x:f>IF(B128="","",SUMIFS('Vendite_Patch'!$F$4:$F$303,'Vendite_Patch'!$L$4:$L$303,B128,'Vendite_Patch'!$I$4:$I$303,"Sì"))</x:f>
      </x:c>
      <x:c r="H128" s="71"/>
      <x:c r="I128" s="71" t="str">
        <x:f>IF(B128="","",MAX(G128-H128,0))</x:f>
      </x:c>
      <x:c r="J128" s="60"/>
    </x:row>
    <x:row r="129" ht="22" customHeight="1">
      <x:c r="A129" s="65"/>
      <x:c r="B129" s="59"/>
      <x:c r="C129" s="68"/>
      <x:c r="D129" s="68" t="str">
        <x:f>IF(B129="","",SUMIFS('Vendite_Patch'!$D$4:$D$303,'Vendite_Patch'!$L$4:$L$303,B129))</x:f>
      </x:c>
      <x:c r="E129" s="68"/>
      <x:c r="F129" s="68" t="str">
        <x:f>IF(B129="","",MAX(C129-D129-E129,0))</x:f>
      </x:c>
      <x:c r="G129" s="71" t="str">
        <x:f>IF(B129="","",SUMIFS('Vendite_Patch'!$F$4:$F$303,'Vendite_Patch'!$L$4:$L$303,B129,'Vendite_Patch'!$I$4:$I$303,"Sì"))</x:f>
      </x:c>
      <x:c r="H129" s="71"/>
      <x:c r="I129" s="71" t="str">
        <x:f>IF(B129="","",MAX(G129-H129,0))</x:f>
      </x:c>
      <x:c r="J129" s="60"/>
    </x:row>
    <x:row r="130" ht="22" customHeight="1">
      <x:c r="A130" s="65"/>
      <x:c r="B130" s="59"/>
      <x:c r="C130" s="68"/>
      <x:c r="D130" s="68" t="str">
        <x:f>IF(B130="","",SUMIFS('Vendite_Patch'!$D$4:$D$303,'Vendite_Patch'!$L$4:$L$303,B130))</x:f>
      </x:c>
      <x:c r="E130" s="68"/>
      <x:c r="F130" s="68" t="str">
        <x:f>IF(B130="","",MAX(C130-D130-E130,0))</x:f>
      </x:c>
      <x:c r="G130" s="71" t="str">
        <x:f>IF(B130="","",SUMIFS('Vendite_Patch'!$F$4:$F$303,'Vendite_Patch'!$L$4:$L$303,B130,'Vendite_Patch'!$I$4:$I$303,"Sì"))</x:f>
      </x:c>
      <x:c r="H130" s="71"/>
      <x:c r="I130" s="71" t="str">
        <x:f>IF(B130="","",MAX(G130-H130,0))</x:f>
      </x:c>
      <x:c r="J130" s="60"/>
    </x:row>
    <x:row r="131" ht="22" customHeight="1">
      <x:c r="A131" s="65"/>
      <x:c r="B131" s="59"/>
      <x:c r="C131" s="68"/>
      <x:c r="D131" s="68" t="str">
        <x:f>IF(B131="","",SUMIFS('Vendite_Patch'!$D$4:$D$303,'Vendite_Patch'!$L$4:$L$303,B131))</x:f>
      </x:c>
      <x:c r="E131" s="68"/>
      <x:c r="F131" s="68" t="str">
        <x:f>IF(B131="","",MAX(C131-D131-E131,0))</x:f>
      </x:c>
      <x:c r="G131" s="71" t="str">
        <x:f>IF(B131="","",SUMIFS('Vendite_Patch'!$F$4:$F$303,'Vendite_Patch'!$L$4:$L$303,B131,'Vendite_Patch'!$I$4:$I$303,"Sì"))</x:f>
      </x:c>
      <x:c r="H131" s="71"/>
      <x:c r="I131" s="71" t="str">
        <x:f>IF(B131="","",MAX(G131-H131,0))</x:f>
      </x:c>
      <x:c r="J131" s="60"/>
    </x:row>
    <x:row r="132" ht="22" customHeight="1">
      <x:c r="A132" s="65"/>
      <x:c r="B132" s="59"/>
      <x:c r="C132" s="68"/>
      <x:c r="D132" s="68" t="str">
        <x:f>IF(B132="","",SUMIFS('Vendite_Patch'!$D$4:$D$303,'Vendite_Patch'!$L$4:$L$303,B132))</x:f>
      </x:c>
      <x:c r="E132" s="68"/>
      <x:c r="F132" s="68" t="str">
        <x:f>IF(B132="","",MAX(C132-D132-E132,0))</x:f>
      </x:c>
      <x:c r="G132" s="71" t="str">
        <x:f>IF(B132="","",SUMIFS('Vendite_Patch'!$F$4:$F$303,'Vendite_Patch'!$L$4:$L$303,B132,'Vendite_Patch'!$I$4:$I$303,"Sì"))</x:f>
      </x:c>
      <x:c r="H132" s="71"/>
      <x:c r="I132" s="71" t="str">
        <x:f>IF(B132="","",MAX(G132-H132,0))</x:f>
      </x:c>
      <x:c r="J132" s="60"/>
    </x:row>
    <x:row r="133" ht="22" customHeight="1">
      <x:c r="A133" s="65"/>
      <x:c r="B133" s="59"/>
      <x:c r="C133" s="68"/>
      <x:c r="D133" s="68" t="str">
        <x:f>IF(B133="","",SUMIFS('Vendite_Patch'!$D$4:$D$303,'Vendite_Patch'!$L$4:$L$303,B133))</x:f>
      </x:c>
      <x:c r="E133" s="68"/>
      <x:c r="F133" s="68" t="str">
        <x:f>IF(B133="","",MAX(C133-D133-E133,0))</x:f>
      </x:c>
      <x:c r="G133" s="71" t="str">
        <x:f>IF(B133="","",SUMIFS('Vendite_Patch'!$F$4:$F$303,'Vendite_Patch'!$L$4:$L$303,B133,'Vendite_Patch'!$I$4:$I$303,"Sì"))</x:f>
      </x:c>
      <x:c r="H133" s="71"/>
      <x:c r="I133" s="71" t="str">
        <x:f>IF(B133="","",MAX(G133-H133,0))</x:f>
      </x:c>
      <x:c r="J133" s="60"/>
    </x:row>
    <x:row r="134" ht="22" customHeight="1">
      <x:c r="A134" s="65"/>
      <x:c r="B134" s="59"/>
      <x:c r="C134" s="68"/>
      <x:c r="D134" s="68" t="str">
        <x:f>IF(B134="","",SUMIFS('Vendite_Patch'!$D$4:$D$303,'Vendite_Patch'!$L$4:$L$303,B134))</x:f>
      </x:c>
      <x:c r="E134" s="68"/>
      <x:c r="F134" s="68" t="str">
        <x:f>IF(B134="","",MAX(C134-D134-E134,0))</x:f>
      </x:c>
      <x:c r="G134" s="71" t="str">
        <x:f>IF(B134="","",SUMIFS('Vendite_Patch'!$F$4:$F$303,'Vendite_Patch'!$L$4:$L$303,B134,'Vendite_Patch'!$I$4:$I$303,"Sì"))</x:f>
      </x:c>
      <x:c r="H134" s="71"/>
      <x:c r="I134" s="71" t="str">
        <x:f>IF(B134="","",MAX(G134-H134,0))</x:f>
      </x:c>
      <x:c r="J134" s="60"/>
    </x:row>
    <x:row r="135" ht="22" customHeight="1">
      <x:c r="A135" s="65"/>
      <x:c r="B135" s="59"/>
      <x:c r="C135" s="68"/>
      <x:c r="D135" s="68" t="str">
        <x:f>IF(B135="","",SUMIFS('Vendite_Patch'!$D$4:$D$303,'Vendite_Patch'!$L$4:$L$303,B135))</x:f>
      </x:c>
      <x:c r="E135" s="68"/>
      <x:c r="F135" s="68" t="str">
        <x:f>IF(B135="","",MAX(C135-D135-E135,0))</x:f>
      </x:c>
      <x:c r="G135" s="71" t="str">
        <x:f>IF(B135="","",SUMIFS('Vendite_Patch'!$F$4:$F$303,'Vendite_Patch'!$L$4:$L$303,B135,'Vendite_Patch'!$I$4:$I$303,"Sì"))</x:f>
      </x:c>
      <x:c r="H135" s="71"/>
      <x:c r="I135" s="71" t="str">
        <x:f>IF(B135="","",MAX(G135-H135,0))</x:f>
      </x:c>
      <x:c r="J135" s="60"/>
    </x:row>
    <x:row r="136" ht="22" customHeight="1">
      <x:c r="A136" s="65"/>
      <x:c r="B136" s="59"/>
      <x:c r="C136" s="68"/>
      <x:c r="D136" s="68" t="str">
        <x:f>IF(B136="","",SUMIFS('Vendite_Patch'!$D$4:$D$303,'Vendite_Patch'!$L$4:$L$303,B136))</x:f>
      </x:c>
      <x:c r="E136" s="68"/>
      <x:c r="F136" s="68" t="str">
        <x:f>IF(B136="","",MAX(C136-D136-E136,0))</x:f>
      </x:c>
      <x:c r="G136" s="71" t="str">
        <x:f>IF(B136="","",SUMIFS('Vendite_Patch'!$F$4:$F$303,'Vendite_Patch'!$L$4:$L$303,B136,'Vendite_Patch'!$I$4:$I$303,"Sì"))</x:f>
      </x:c>
      <x:c r="H136" s="71"/>
      <x:c r="I136" s="71" t="str">
        <x:f>IF(B136="","",MAX(G136-H136,0))</x:f>
      </x:c>
      <x:c r="J136" s="60"/>
    </x:row>
    <x:row r="137" ht="22" customHeight="1">
      <x:c r="A137" s="65"/>
      <x:c r="B137" s="59"/>
      <x:c r="C137" s="68"/>
      <x:c r="D137" s="68" t="str">
        <x:f>IF(B137="","",SUMIFS('Vendite_Patch'!$D$4:$D$303,'Vendite_Patch'!$L$4:$L$303,B137))</x:f>
      </x:c>
      <x:c r="E137" s="68"/>
      <x:c r="F137" s="68" t="str">
        <x:f>IF(B137="","",MAX(C137-D137-E137,0))</x:f>
      </x:c>
      <x:c r="G137" s="71" t="str">
        <x:f>IF(B137="","",SUMIFS('Vendite_Patch'!$F$4:$F$303,'Vendite_Patch'!$L$4:$L$303,B137,'Vendite_Patch'!$I$4:$I$303,"Sì"))</x:f>
      </x:c>
      <x:c r="H137" s="71"/>
      <x:c r="I137" s="71" t="str">
        <x:f>IF(B137="","",MAX(G137-H137,0))</x:f>
      </x:c>
      <x:c r="J137" s="60"/>
    </x:row>
    <x:row r="138" ht="22" customHeight="1">
      <x:c r="A138" s="65"/>
      <x:c r="B138" s="59"/>
      <x:c r="C138" s="68"/>
      <x:c r="D138" s="68" t="str">
        <x:f>IF(B138="","",SUMIFS('Vendite_Patch'!$D$4:$D$303,'Vendite_Patch'!$L$4:$L$303,B138))</x:f>
      </x:c>
      <x:c r="E138" s="68"/>
      <x:c r="F138" s="68" t="str">
        <x:f>IF(B138="","",MAX(C138-D138-E138,0))</x:f>
      </x:c>
      <x:c r="G138" s="71" t="str">
        <x:f>IF(B138="","",SUMIFS('Vendite_Patch'!$F$4:$F$303,'Vendite_Patch'!$L$4:$L$303,B138,'Vendite_Patch'!$I$4:$I$303,"Sì"))</x:f>
      </x:c>
      <x:c r="H138" s="71"/>
      <x:c r="I138" s="71" t="str">
        <x:f>IF(B138="","",MAX(G138-H138,0))</x:f>
      </x:c>
      <x:c r="J138" s="60"/>
    </x:row>
    <x:row r="139" ht="22" customHeight="1">
      <x:c r="A139" s="65"/>
      <x:c r="B139" s="59"/>
      <x:c r="C139" s="68"/>
      <x:c r="D139" s="68" t="str">
        <x:f>IF(B139="","",SUMIFS('Vendite_Patch'!$D$4:$D$303,'Vendite_Patch'!$L$4:$L$303,B139))</x:f>
      </x:c>
      <x:c r="E139" s="68"/>
      <x:c r="F139" s="68" t="str">
        <x:f>IF(B139="","",MAX(C139-D139-E139,0))</x:f>
      </x:c>
      <x:c r="G139" s="71" t="str">
        <x:f>IF(B139="","",SUMIFS('Vendite_Patch'!$F$4:$F$303,'Vendite_Patch'!$L$4:$L$303,B139,'Vendite_Patch'!$I$4:$I$303,"Sì"))</x:f>
      </x:c>
      <x:c r="H139" s="71"/>
      <x:c r="I139" s="71" t="str">
        <x:f>IF(B139="","",MAX(G139-H139,0))</x:f>
      </x:c>
      <x:c r="J139" s="60"/>
    </x:row>
    <x:row r="140" ht="22" customHeight="1">
      <x:c r="A140" s="65"/>
      <x:c r="B140" s="59"/>
      <x:c r="C140" s="68"/>
      <x:c r="D140" s="68" t="str">
        <x:f>IF(B140="","",SUMIFS('Vendite_Patch'!$D$4:$D$303,'Vendite_Patch'!$L$4:$L$303,B140))</x:f>
      </x:c>
      <x:c r="E140" s="68"/>
      <x:c r="F140" s="68" t="str">
        <x:f>IF(B140="","",MAX(C140-D140-E140,0))</x:f>
      </x:c>
      <x:c r="G140" s="71" t="str">
        <x:f>IF(B140="","",SUMIFS('Vendite_Patch'!$F$4:$F$303,'Vendite_Patch'!$L$4:$L$303,B140,'Vendite_Patch'!$I$4:$I$303,"Sì"))</x:f>
      </x:c>
      <x:c r="H140" s="71"/>
      <x:c r="I140" s="71" t="str">
        <x:f>IF(B140="","",MAX(G140-H140,0))</x:f>
      </x:c>
      <x:c r="J140" s="60"/>
    </x:row>
    <x:row r="141" ht="22" customHeight="1">
      <x:c r="A141" s="65"/>
      <x:c r="B141" s="59"/>
      <x:c r="C141" s="68"/>
      <x:c r="D141" s="68" t="str">
        <x:f>IF(B141="","",SUMIFS('Vendite_Patch'!$D$4:$D$303,'Vendite_Patch'!$L$4:$L$303,B141))</x:f>
      </x:c>
      <x:c r="E141" s="68"/>
      <x:c r="F141" s="68" t="str">
        <x:f>IF(B141="","",MAX(C141-D141-E141,0))</x:f>
      </x:c>
      <x:c r="G141" s="71" t="str">
        <x:f>IF(B141="","",SUMIFS('Vendite_Patch'!$F$4:$F$303,'Vendite_Patch'!$L$4:$L$303,B141,'Vendite_Patch'!$I$4:$I$303,"Sì"))</x:f>
      </x:c>
      <x:c r="H141" s="71"/>
      <x:c r="I141" s="71" t="str">
        <x:f>IF(B141="","",MAX(G141-H141,0))</x:f>
      </x:c>
      <x:c r="J141" s="60"/>
    </x:row>
    <x:row r="142" ht="22" customHeight="1">
      <x:c r="A142" s="65"/>
      <x:c r="B142" s="59"/>
      <x:c r="C142" s="68"/>
      <x:c r="D142" s="68" t="str">
        <x:f>IF(B142="","",SUMIFS('Vendite_Patch'!$D$4:$D$303,'Vendite_Patch'!$L$4:$L$303,B142))</x:f>
      </x:c>
      <x:c r="E142" s="68"/>
      <x:c r="F142" s="68" t="str">
        <x:f>IF(B142="","",MAX(C142-D142-E142,0))</x:f>
      </x:c>
      <x:c r="G142" s="71" t="str">
        <x:f>IF(B142="","",SUMIFS('Vendite_Patch'!$F$4:$F$303,'Vendite_Patch'!$L$4:$L$303,B142,'Vendite_Patch'!$I$4:$I$303,"Sì"))</x:f>
      </x:c>
      <x:c r="H142" s="71"/>
      <x:c r="I142" s="71" t="str">
        <x:f>IF(B142="","",MAX(G142-H142,0))</x:f>
      </x:c>
      <x:c r="J142" s="60"/>
    </x:row>
    <x:row r="143" ht="22" customHeight="1">
      <x:c r="A143" s="65"/>
      <x:c r="B143" s="59"/>
      <x:c r="C143" s="68"/>
      <x:c r="D143" s="68" t="str">
        <x:f>IF(B143="","",SUMIFS('Vendite_Patch'!$D$4:$D$303,'Vendite_Patch'!$L$4:$L$303,B143))</x:f>
      </x:c>
      <x:c r="E143" s="68"/>
      <x:c r="F143" s="68" t="str">
        <x:f>IF(B143="","",MAX(C143-D143-E143,0))</x:f>
      </x:c>
      <x:c r="G143" s="71" t="str">
        <x:f>IF(B143="","",SUMIFS('Vendite_Patch'!$F$4:$F$303,'Vendite_Patch'!$L$4:$L$303,B143,'Vendite_Patch'!$I$4:$I$303,"Sì"))</x:f>
      </x:c>
      <x:c r="H143" s="71"/>
      <x:c r="I143" s="71" t="str">
        <x:f>IF(B143="","",MAX(G143-H143,0))</x:f>
      </x:c>
      <x:c r="J143" s="60"/>
    </x:row>
    <x:row r="144" ht="22" customHeight="1">
      <x:c r="A144" s="65"/>
      <x:c r="B144" s="59"/>
      <x:c r="C144" s="68"/>
      <x:c r="D144" s="68" t="str">
        <x:f>IF(B144="","",SUMIFS('Vendite_Patch'!$D$4:$D$303,'Vendite_Patch'!$L$4:$L$303,B144))</x:f>
      </x:c>
      <x:c r="E144" s="68"/>
      <x:c r="F144" s="68" t="str">
        <x:f>IF(B144="","",MAX(C144-D144-E144,0))</x:f>
      </x:c>
      <x:c r="G144" s="71" t="str">
        <x:f>IF(B144="","",SUMIFS('Vendite_Patch'!$F$4:$F$303,'Vendite_Patch'!$L$4:$L$303,B144,'Vendite_Patch'!$I$4:$I$303,"Sì"))</x:f>
      </x:c>
      <x:c r="H144" s="71"/>
      <x:c r="I144" s="71" t="str">
        <x:f>IF(B144="","",MAX(G144-H144,0))</x:f>
      </x:c>
      <x:c r="J144" s="60"/>
    </x:row>
    <x:row r="145" ht="22" customHeight="1">
      <x:c r="A145" s="65"/>
      <x:c r="B145" s="59"/>
      <x:c r="C145" s="68"/>
      <x:c r="D145" s="68" t="str">
        <x:f>IF(B145="","",SUMIFS('Vendite_Patch'!$D$4:$D$303,'Vendite_Patch'!$L$4:$L$303,B145))</x:f>
      </x:c>
      <x:c r="E145" s="68"/>
      <x:c r="F145" s="68" t="str">
        <x:f>IF(B145="","",MAX(C145-D145-E145,0))</x:f>
      </x:c>
      <x:c r="G145" s="71" t="str">
        <x:f>IF(B145="","",SUMIFS('Vendite_Patch'!$F$4:$F$303,'Vendite_Patch'!$L$4:$L$303,B145,'Vendite_Patch'!$I$4:$I$303,"Sì"))</x:f>
      </x:c>
      <x:c r="H145" s="71"/>
      <x:c r="I145" s="71" t="str">
        <x:f>IF(B145="","",MAX(G145-H145,0))</x:f>
      </x:c>
      <x:c r="J145" s="60"/>
    </x:row>
    <x:row r="146" ht="22" customHeight="1">
      <x:c r="A146" s="65"/>
      <x:c r="B146" s="59"/>
      <x:c r="C146" s="68"/>
      <x:c r="D146" s="68" t="str">
        <x:f>IF(B146="","",SUMIFS('Vendite_Patch'!$D$4:$D$303,'Vendite_Patch'!$L$4:$L$303,B146))</x:f>
      </x:c>
      <x:c r="E146" s="68"/>
      <x:c r="F146" s="68" t="str">
        <x:f>IF(B146="","",MAX(C146-D146-E146,0))</x:f>
      </x:c>
      <x:c r="G146" s="71" t="str">
        <x:f>IF(B146="","",SUMIFS('Vendite_Patch'!$F$4:$F$303,'Vendite_Patch'!$L$4:$L$303,B146,'Vendite_Patch'!$I$4:$I$303,"Sì"))</x:f>
      </x:c>
      <x:c r="H146" s="71"/>
      <x:c r="I146" s="71" t="str">
        <x:f>IF(B146="","",MAX(G146-H146,0))</x:f>
      </x:c>
      <x:c r="J146" s="60"/>
    </x:row>
    <x:row r="147" ht="22" customHeight="1">
      <x:c r="A147" s="65"/>
      <x:c r="B147" s="59"/>
      <x:c r="C147" s="68"/>
      <x:c r="D147" s="68" t="str">
        <x:f>IF(B147="","",SUMIFS('Vendite_Patch'!$D$4:$D$303,'Vendite_Patch'!$L$4:$L$303,B147))</x:f>
      </x:c>
      <x:c r="E147" s="68"/>
      <x:c r="F147" s="68" t="str">
        <x:f>IF(B147="","",MAX(C147-D147-E147,0))</x:f>
      </x:c>
      <x:c r="G147" s="71" t="str">
        <x:f>IF(B147="","",SUMIFS('Vendite_Patch'!$F$4:$F$303,'Vendite_Patch'!$L$4:$L$303,B147,'Vendite_Patch'!$I$4:$I$303,"Sì"))</x:f>
      </x:c>
      <x:c r="H147" s="71"/>
      <x:c r="I147" s="71" t="str">
        <x:f>IF(B147="","",MAX(G147-H147,0))</x:f>
      </x:c>
      <x:c r="J147" s="60"/>
    </x:row>
    <x:row r="148" ht="22" customHeight="1">
      <x:c r="A148" s="65"/>
      <x:c r="B148" s="59"/>
      <x:c r="C148" s="68"/>
      <x:c r="D148" s="68" t="str">
        <x:f>IF(B148="","",SUMIFS('Vendite_Patch'!$D$4:$D$303,'Vendite_Patch'!$L$4:$L$303,B148))</x:f>
      </x:c>
      <x:c r="E148" s="68"/>
      <x:c r="F148" s="68" t="str">
        <x:f>IF(B148="","",MAX(C148-D148-E148,0))</x:f>
      </x:c>
      <x:c r="G148" s="71" t="str">
        <x:f>IF(B148="","",SUMIFS('Vendite_Patch'!$F$4:$F$303,'Vendite_Patch'!$L$4:$L$303,B148,'Vendite_Patch'!$I$4:$I$303,"Sì"))</x:f>
      </x:c>
      <x:c r="H148" s="71"/>
      <x:c r="I148" s="71" t="str">
        <x:f>IF(B148="","",MAX(G148-H148,0))</x:f>
      </x:c>
      <x:c r="J148" s="60"/>
    </x:row>
    <x:row r="149" ht="22" customHeight="1">
      <x:c r="A149" s="65"/>
      <x:c r="B149" s="59"/>
      <x:c r="C149" s="68"/>
      <x:c r="D149" s="68" t="str">
        <x:f>IF(B149="","",SUMIFS('Vendite_Patch'!$D$4:$D$303,'Vendite_Patch'!$L$4:$L$303,B149))</x:f>
      </x:c>
      <x:c r="E149" s="68"/>
      <x:c r="F149" s="68" t="str">
        <x:f>IF(B149="","",MAX(C149-D149-E149,0))</x:f>
      </x:c>
      <x:c r="G149" s="71" t="str">
        <x:f>IF(B149="","",SUMIFS('Vendite_Patch'!$F$4:$F$303,'Vendite_Patch'!$L$4:$L$303,B149,'Vendite_Patch'!$I$4:$I$303,"Sì"))</x:f>
      </x:c>
      <x:c r="H149" s="71"/>
      <x:c r="I149" s="71" t="str">
        <x:f>IF(B149="","",MAX(G149-H149,0))</x:f>
      </x:c>
      <x:c r="J149" s="60"/>
    </x:row>
    <x:row r="150" ht="22" customHeight="1">
      <x:c r="A150" s="65"/>
      <x:c r="B150" s="59"/>
      <x:c r="C150" s="68"/>
      <x:c r="D150" s="68" t="str">
        <x:f>IF(B150="","",SUMIFS('Vendite_Patch'!$D$4:$D$303,'Vendite_Patch'!$L$4:$L$303,B150))</x:f>
      </x:c>
      <x:c r="E150" s="68"/>
      <x:c r="F150" s="68" t="str">
        <x:f>IF(B150="","",MAX(C150-D150-E150,0))</x:f>
      </x:c>
      <x:c r="G150" s="71" t="str">
        <x:f>IF(B150="","",SUMIFS('Vendite_Patch'!$F$4:$F$303,'Vendite_Patch'!$L$4:$L$303,B150,'Vendite_Patch'!$I$4:$I$303,"Sì"))</x:f>
      </x:c>
      <x:c r="H150" s="71"/>
      <x:c r="I150" s="71" t="str">
        <x:f>IF(B150="","",MAX(G150-H150,0))</x:f>
      </x:c>
      <x:c r="J150" s="60"/>
    </x:row>
    <x:row r="151" ht="22" customHeight="1">
      <x:c r="A151" s="65"/>
      <x:c r="B151" s="59"/>
      <x:c r="C151" s="68"/>
      <x:c r="D151" s="68" t="str">
        <x:f>IF(B151="","",SUMIFS('Vendite_Patch'!$D$4:$D$303,'Vendite_Patch'!$L$4:$L$303,B151))</x:f>
      </x:c>
      <x:c r="E151" s="68"/>
      <x:c r="F151" s="68" t="str">
        <x:f>IF(B151="","",MAX(C151-D151-E151,0))</x:f>
      </x:c>
      <x:c r="G151" s="71" t="str">
        <x:f>IF(B151="","",SUMIFS('Vendite_Patch'!$F$4:$F$303,'Vendite_Patch'!$L$4:$L$303,B151,'Vendite_Patch'!$I$4:$I$303,"Sì"))</x:f>
      </x:c>
      <x:c r="H151" s="71"/>
      <x:c r="I151" s="71" t="str">
        <x:f>IF(B151="","",MAX(G151-H151,0))</x:f>
      </x:c>
      <x:c r="J151" s="60"/>
    </x:row>
    <x:row r="152" ht="22" customHeight="1">
      <x:c r="A152" s="65"/>
      <x:c r="B152" s="59"/>
      <x:c r="C152" s="68"/>
      <x:c r="D152" s="68" t="str">
        <x:f>IF(B152="","",SUMIFS('Vendite_Patch'!$D$4:$D$303,'Vendite_Patch'!$L$4:$L$303,B152))</x:f>
      </x:c>
      <x:c r="E152" s="68"/>
      <x:c r="F152" s="68" t="str">
        <x:f>IF(B152="","",MAX(C152-D152-E152,0))</x:f>
      </x:c>
      <x:c r="G152" s="71" t="str">
        <x:f>IF(B152="","",SUMIFS('Vendite_Patch'!$F$4:$F$303,'Vendite_Patch'!$L$4:$L$303,B152,'Vendite_Patch'!$I$4:$I$303,"Sì"))</x:f>
      </x:c>
      <x:c r="H152" s="71"/>
      <x:c r="I152" s="71" t="str">
        <x:f>IF(B152="","",MAX(G152-H152,0))</x:f>
      </x:c>
      <x:c r="J152" s="60"/>
    </x:row>
    <x:row r="153" ht="22" customHeight="1">
      <x:c r="A153" s="65"/>
      <x:c r="B153" s="59"/>
      <x:c r="C153" s="68"/>
      <x:c r="D153" s="68" t="str">
        <x:f>IF(B153="","",SUMIFS('Vendite_Patch'!$D$4:$D$303,'Vendite_Patch'!$L$4:$L$303,B153))</x:f>
      </x:c>
      <x:c r="E153" s="68"/>
      <x:c r="F153" s="68" t="str">
        <x:f>IF(B153="","",MAX(C153-D153-E153,0))</x:f>
      </x:c>
      <x:c r="G153" s="71" t="str">
        <x:f>IF(B153="","",SUMIFS('Vendite_Patch'!$F$4:$F$303,'Vendite_Patch'!$L$4:$L$303,B153,'Vendite_Patch'!$I$4:$I$303,"Sì"))</x:f>
      </x:c>
      <x:c r="H153" s="71"/>
      <x:c r="I153" s="71" t="str">
        <x:f>IF(B153="","",MAX(G153-H153,0))</x:f>
      </x:c>
      <x:c r="J153" s="60"/>
    </x:row>
    <x:row r="154" ht="22" customHeight="1">
      <x:c r="A154" s="65"/>
      <x:c r="B154" s="59"/>
      <x:c r="C154" s="68"/>
      <x:c r="D154" s="68" t="str">
        <x:f>IF(B154="","",SUMIFS('Vendite_Patch'!$D$4:$D$303,'Vendite_Patch'!$L$4:$L$303,B154))</x:f>
      </x:c>
      <x:c r="E154" s="68"/>
      <x:c r="F154" s="68" t="str">
        <x:f>IF(B154="","",MAX(C154-D154-E154,0))</x:f>
      </x:c>
      <x:c r="G154" s="71" t="str">
        <x:f>IF(B154="","",SUMIFS('Vendite_Patch'!$F$4:$F$303,'Vendite_Patch'!$L$4:$L$303,B154,'Vendite_Patch'!$I$4:$I$303,"Sì"))</x:f>
      </x:c>
      <x:c r="H154" s="71"/>
      <x:c r="I154" s="71" t="str">
        <x:f>IF(B154="","",MAX(G154-H154,0))</x:f>
      </x:c>
      <x:c r="J154" s="60"/>
    </x:row>
    <x:row r="155" ht="22" customHeight="1">
      <x:c r="A155" s="65"/>
      <x:c r="B155" s="59"/>
      <x:c r="C155" s="68"/>
      <x:c r="D155" s="68" t="str">
        <x:f>IF(B155="","",SUMIFS('Vendite_Patch'!$D$4:$D$303,'Vendite_Patch'!$L$4:$L$303,B155))</x:f>
      </x:c>
      <x:c r="E155" s="68"/>
      <x:c r="F155" s="68" t="str">
        <x:f>IF(B155="","",MAX(C155-D155-E155,0))</x:f>
      </x:c>
      <x:c r="G155" s="71" t="str">
        <x:f>IF(B155="","",SUMIFS('Vendite_Patch'!$F$4:$F$303,'Vendite_Patch'!$L$4:$L$303,B155,'Vendite_Patch'!$I$4:$I$303,"Sì"))</x:f>
      </x:c>
      <x:c r="H155" s="71"/>
      <x:c r="I155" s="71" t="str">
        <x:f>IF(B155="","",MAX(G155-H155,0))</x:f>
      </x:c>
      <x:c r="J155" s="60"/>
    </x:row>
    <x:row r="156" ht="22" customHeight="1">
      <x:c r="A156" s="65"/>
      <x:c r="B156" s="59"/>
      <x:c r="C156" s="68"/>
      <x:c r="D156" s="68" t="str">
        <x:f>IF(B156="","",SUMIFS('Vendite_Patch'!$D$4:$D$303,'Vendite_Patch'!$L$4:$L$303,B156))</x:f>
      </x:c>
      <x:c r="E156" s="68"/>
      <x:c r="F156" s="68" t="str">
        <x:f>IF(B156="","",MAX(C156-D156-E156,0))</x:f>
      </x:c>
      <x:c r="G156" s="71" t="str">
        <x:f>IF(B156="","",SUMIFS('Vendite_Patch'!$F$4:$F$303,'Vendite_Patch'!$L$4:$L$303,B156,'Vendite_Patch'!$I$4:$I$303,"Sì"))</x:f>
      </x:c>
      <x:c r="H156" s="71"/>
      <x:c r="I156" s="71" t="str">
        <x:f>IF(B156="","",MAX(G156-H156,0))</x:f>
      </x:c>
      <x:c r="J156" s="60"/>
    </x:row>
    <x:row r="157" ht="22" customHeight="1">
      <x:c r="A157" s="65"/>
      <x:c r="B157" s="59"/>
      <x:c r="C157" s="68"/>
      <x:c r="D157" s="68" t="str">
        <x:f>IF(B157="","",SUMIFS('Vendite_Patch'!$D$4:$D$303,'Vendite_Patch'!$L$4:$L$303,B157))</x:f>
      </x:c>
      <x:c r="E157" s="68"/>
      <x:c r="F157" s="68" t="str">
        <x:f>IF(B157="","",MAX(C157-D157-E157,0))</x:f>
      </x:c>
      <x:c r="G157" s="71" t="str">
        <x:f>IF(B157="","",SUMIFS('Vendite_Patch'!$F$4:$F$303,'Vendite_Patch'!$L$4:$L$303,B157,'Vendite_Patch'!$I$4:$I$303,"Sì"))</x:f>
      </x:c>
      <x:c r="H157" s="71"/>
      <x:c r="I157" s="71" t="str">
        <x:f>IF(B157="","",MAX(G157-H157,0))</x:f>
      </x:c>
      <x:c r="J157" s="60"/>
    </x:row>
    <x:row r="158" ht="22" customHeight="1">
      <x:c r="A158" s="65"/>
      <x:c r="B158" s="59"/>
      <x:c r="C158" s="68"/>
      <x:c r="D158" s="68" t="str">
        <x:f>IF(B158="","",SUMIFS('Vendite_Patch'!$D$4:$D$303,'Vendite_Patch'!$L$4:$L$303,B158))</x:f>
      </x:c>
      <x:c r="E158" s="68"/>
      <x:c r="F158" s="68" t="str">
        <x:f>IF(B158="","",MAX(C158-D158-E158,0))</x:f>
      </x:c>
      <x:c r="G158" s="71" t="str">
        <x:f>IF(B158="","",SUMIFS('Vendite_Patch'!$F$4:$F$303,'Vendite_Patch'!$L$4:$L$303,B158,'Vendite_Patch'!$I$4:$I$303,"Sì"))</x:f>
      </x:c>
      <x:c r="H158" s="71"/>
      <x:c r="I158" s="71" t="str">
        <x:f>IF(B158="","",MAX(G158-H158,0))</x:f>
      </x:c>
      <x:c r="J158" s="60"/>
    </x:row>
    <x:row r="159" ht="22" customHeight="1">
      <x:c r="A159" s="65"/>
      <x:c r="B159" s="59"/>
      <x:c r="C159" s="68"/>
      <x:c r="D159" s="68" t="str">
        <x:f>IF(B159="","",SUMIFS('Vendite_Patch'!$D$4:$D$303,'Vendite_Patch'!$L$4:$L$303,B159))</x:f>
      </x:c>
      <x:c r="E159" s="68"/>
      <x:c r="F159" s="68" t="str">
        <x:f>IF(B159="","",MAX(C159-D159-E159,0))</x:f>
      </x:c>
      <x:c r="G159" s="71" t="str">
        <x:f>IF(B159="","",SUMIFS('Vendite_Patch'!$F$4:$F$303,'Vendite_Patch'!$L$4:$L$303,B159,'Vendite_Patch'!$I$4:$I$303,"Sì"))</x:f>
      </x:c>
      <x:c r="H159" s="71"/>
      <x:c r="I159" s="71" t="str">
        <x:f>IF(B159="","",MAX(G159-H159,0))</x:f>
      </x:c>
      <x:c r="J159" s="60"/>
    </x:row>
    <x:row r="160" ht="22" customHeight="1">
      <x:c r="A160" s="65"/>
      <x:c r="B160" s="59"/>
      <x:c r="C160" s="68"/>
      <x:c r="D160" s="68" t="str">
        <x:f>IF(B160="","",SUMIFS('Vendite_Patch'!$D$4:$D$303,'Vendite_Patch'!$L$4:$L$303,B160))</x:f>
      </x:c>
      <x:c r="E160" s="68"/>
      <x:c r="F160" s="68" t="str">
        <x:f>IF(B160="","",MAX(C160-D160-E160,0))</x:f>
      </x:c>
      <x:c r="G160" s="71" t="str">
        <x:f>IF(B160="","",SUMIFS('Vendite_Patch'!$F$4:$F$303,'Vendite_Patch'!$L$4:$L$303,B160,'Vendite_Patch'!$I$4:$I$303,"Sì"))</x:f>
      </x:c>
      <x:c r="H160" s="71"/>
      <x:c r="I160" s="71" t="str">
        <x:f>IF(B160="","",MAX(G160-H160,0))</x:f>
      </x:c>
      <x:c r="J160" s="60"/>
    </x:row>
    <x:row r="161" ht="22" customHeight="1">
      <x:c r="A161" s="65"/>
      <x:c r="B161" s="59"/>
      <x:c r="C161" s="68"/>
      <x:c r="D161" s="68" t="str">
        <x:f>IF(B161="","",SUMIFS('Vendite_Patch'!$D$4:$D$303,'Vendite_Patch'!$L$4:$L$303,B161))</x:f>
      </x:c>
      <x:c r="E161" s="68"/>
      <x:c r="F161" s="68" t="str">
        <x:f>IF(B161="","",MAX(C161-D161-E161,0))</x:f>
      </x:c>
      <x:c r="G161" s="71" t="str">
        <x:f>IF(B161="","",SUMIFS('Vendite_Patch'!$F$4:$F$303,'Vendite_Patch'!$L$4:$L$303,B161,'Vendite_Patch'!$I$4:$I$303,"Sì"))</x:f>
      </x:c>
      <x:c r="H161" s="71"/>
      <x:c r="I161" s="71" t="str">
        <x:f>IF(B161="","",MAX(G161-H161,0))</x:f>
      </x:c>
      <x:c r="J161" s="60"/>
    </x:row>
    <x:row r="162" ht="22" customHeight="1">
      <x:c r="A162" s="65"/>
      <x:c r="B162" s="59"/>
      <x:c r="C162" s="68"/>
      <x:c r="D162" s="68" t="str">
        <x:f>IF(B162="","",SUMIFS('Vendite_Patch'!$D$4:$D$303,'Vendite_Patch'!$L$4:$L$303,B162))</x:f>
      </x:c>
      <x:c r="E162" s="68"/>
      <x:c r="F162" s="68" t="str">
        <x:f>IF(B162="","",MAX(C162-D162-E162,0))</x:f>
      </x:c>
      <x:c r="G162" s="71" t="str">
        <x:f>IF(B162="","",SUMIFS('Vendite_Patch'!$F$4:$F$303,'Vendite_Patch'!$L$4:$L$303,B162,'Vendite_Patch'!$I$4:$I$303,"Sì"))</x:f>
      </x:c>
      <x:c r="H162" s="71"/>
      <x:c r="I162" s="71" t="str">
        <x:f>IF(B162="","",MAX(G162-H162,0))</x:f>
      </x:c>
      <x:c r="J162" s="60"/>
    </x:row>
    <x:row r="163" ht="22" customHeight="1">
      <x:c r="A163" s="65"/>
      <x:c r="B163" s="59"/>
      <x:c r="C163" s="68"/>
      <x:c r="D163" s="68" t="str">
        <x:f>IF(B163="","",SUMIFS('Vendite_Patch'!$D$4:$D$303,'Vendite_Patch'!$L$4:$L$303,B163))</x:f>
      </x:c>
      <x:c r="E163" s="68"/>
      <x:c r="F163" s="68" t="str">
        <x:f>IF(B163="","",MAX(C163-D163-E163,0))</x:f>
      </x:c>
      <x:c r="G163" s="71" t="str">
        <x:f>IF(B163="","",SUMIFS('Vendite_Patch'!$F$4:$F$303,'Vendite_Patch'!$L$4:$L$303,B163,'Vendite_Patch'!$I$4:$I$303,"Sì"))</x:f>
      </x:c>
      <x:c r="H163" s="71"/>
      <x:c r="I163" s="71" t="str">
        <x:f>IF(B163="","",MAX(G163-H163,0))</x:f>
      </x:c>
      <x:c r="J163" s="60"/>
    </x:row>
    <x:row r="164" ht="22" customHeight="1">
      <x:c r="A164" s="65"/>
      <x:c r="B164" s="59"/>
      <x:c r="C164" s="68"/>
      <x:c r="D164" s="68" t="str">
        <x:f>IF(B164="","",SUMIFS('Vendite_Patch'!$D$4:$D$303,'Vendite_Patch'!$L$4:$L$303,B164))</x:f>
      </x:c>
      <x:c r="E164" s="68"/>
      <x:c r="F164" s="68" t="str">
        <x:f>IF(B164="","",MAX(C164-D164-E164,0))</x:f>
      </x:c>
      <x:c r="G164" s="71" t="str">
        <x:f>IF(B164="","",SUMIFS('Vendite_Patch'!$F$4:$F$303,'Vendite_Patch'!$L$4:$L$303,B164,'Vendite_Patch'!$I$4:$I$303,"Sì"))</x:f>
      </x:c>
      <x:c r="H164" s="71"/>
      <x:c r="I164" s="71" t="str">
        <x:f>IF(B164="","",MAX(G164-H164,0))</x:f>
      </x:c>
      <x:c r="J164" s="60"/>
    </x:row>
    <x:row r="165" ht="22" customHeight="1">
      <x:c r="A165" s="65"/>
      <x:c r="B165" s="59"/>
      <x:c r="C165" s="68"/>
      <x:c r="D165" s="68" t="str">
        <x:f>IF(B165="","",SUMIFS('Vendite_Patch'!$D$4:$D$303,'Vendite_Patch'!$L$4:$L$303,B165))</x:f>
      </x:c>
      <x:c r="E165" s="68"/>
      <x:c r="F165" s="68" t="str">
        <x:f>IF(B165="","",MAX(C165-D165-E165,0))</x:f>
      </x:c>
      <x:c r="G165" s="71" t="str">
        <x:f>IF(B165="","",SUMIFS('Vendite_Patch'!$F$4:$F$303,'Vendite_Patch'!$L$4:$L$303,B165,'Vendite_Patch'!$I$4:$I$303,"Sì"))</x:f>
      </x:c>
      <x:c r="H165" s="71"/>
      <x:c r="I165" s="71" t="str">
        <x:f>IF(B165="","",MAX(G165-H165,0))</x:f>
      </x:c>
      <x:c r="J165" s="60"/>
    </x:row>
    <x:row r="166" ht="22" customHeight="1">
      <x:c r="A166" s="65"/>
      <x:c r="B166" s="59"/>
      <x:c r="C166" s="68"/>
      <x:c r="D166" s="68" t="str">
        <x:f>IF(B166="","",SUMIFS('Vendite_Patch'!$D$4:$D$303,'Vendite_Patch'!$L$4:$L$303,B166))</x:f>
      </x:c>
      <x:c r="E166" s="68"/>
      <x:c r="F166" s="68" t="str">
        <x:f>IF(B166="","",MAX(C166-D166-E166,0))</x:f>
      </x:c>
      <x:c r="G166" s="71" t="str">
        <x:f>IF(B166="","",SUMIFS('Vendite_Patch'!$F$4:$F$303,'Vendite_Patch'!$L$4:$L$303,B166,'Vendite_Patch'!$I$4:$I$303,"Sì"))</x:f>
      </x:c>
      <x:c r="H166" s="71"/>
      <x:c r="I166" s="71" t="str">
        <x:f>IF(B166="","",MAX(G166-H166,0))</x:f>
      </x:c>
      <x:c r="J166" s="60"/>
    </x:row>
    <x:row r="167" ht="22" customHeight="1">
      <x:c r="A167" s="65"/>
      <x:c r="B167" s="59"/>
      <x:c r="C167" s="68"/>
      <x:c r="D167" s="68" t="str">
        <x:f>IF(B167="","",SUMIFS('Vendite_Patch'!$D$4:$D$303,'Vendite_Patch'!$L$4:$L$303,B167))</x:f>
      </x:c>
      <x:c r="E167" s="68"/>
      <x:c r="F167" s="68" t="str">
        <x:f>IF(B167="","",MAX(C167-D167-E167,0))</x:f>
      </x:c>
      <x:c r="G167" s="71" t="str">
        <x:f>IF(B167="","",SUMIFS('Vendite_Patch'!$F$4:$F$303,'Vendite_Patch'!$L$4:$L$303,B167,'Vendite_Patch'!$I$4:$I$303,"Sì"))</x:f>
      </x:c>
      <x:c r="H167" s="71"/>
      <x:c r="I167" s="71" t="str">
        <x:f>IF(B167="","",MAX(G167-H167,0))</x:f>
      </x:c>
      <x:c r="J167" s="60"/>
    </x:row>
    <x:row r="168" ht="22" customHeight="1">
      <x:c r="A168" s="65"/>
      <x:c r="B168" s="59"/>
      <x:c r="C168" s="68"/>
      <x:c r="D168" s="68" t="str">
        <x:f>IF(B168="","",SUMIFS('Vendite_Patch'!$D$4:$D$303,'Vendite_Patch'!$L$4:$L$303,B168))</x:f>
      </x:c>
      <x:c r="E168" s="68"/>
      <x:c r="F168" s="68" t="str">
        <x:f>IF(B168="","",MAX(C168-D168-E168,0))</x:f>
      </x:c>
      <x:c r="G168" s="71" t="str">
        <x:f>IF(B168="","",SUMIFS('Vendite_Patch'!$F$4:$F$303,'Vendite_Patch'!$L$4:$L$303,B168,'Vendite_Patch'!$I$4:$I$303,"Sì"))</x:f>
      </x:c>
      <x:c r="H168" s="71"/>
      <x:c r="I168" s="71" t="str">
        <x:f>IF(B168="","",MAX(G168-H168,0))</x:f>
      </x:c>
      <x:c r="J168" s="60"/>
    </x:row>
    <x:row r="169" ht="22" customHeight="1">
      <x:c r="A169" s="65"/>
      <x:c r="B169" s="59"/>
      <x:c r="C169" s="68"/>
      <x:c r="D169" s="68" t="str">
        <x:f>IF(B169="","",SUMIFS('Vendite_Patch'!$D$4:$D$303,'Vendite_Patch'!$L$4:$L$303,B169))</x:f>
      </x:c>
      <x:c r="E169" s="68"/>
      <x:c r="F169" s="68" t="str">
        <x:f>IF(B169="","",MAX(C169-D169-E169,0))</x:f>
      </x:c>
      <x:c r="G169" s="71" t="str">
        <x:f>IF(B169="","",SUMIFS('Vendite_Patch'!$F$4:$F$303,'Vendite_Patch'!$L$4:$L$303,B169,'Vendite_Patch'!$I$4:$I$303,"Sì"))</x:f>
      </x:c>
      <x:c r="H169" s="71"/>
      <x:c r="I169" s="71" t="str">
        <x:f>IF(B169="","",MAX(G169-H169,0))</x:f>
      </x:c>
      <x:c r="J169" s="60"/>
    </x:row>
    <x:row r="170" ht="22" customHeight="1">
      <x:c r="A170" s="65"/>
      <x:c r="B170" s="59"/>
      <x:c r="C170" s="68"/>
      <x:c r="D170" s="68" t="str">
        <x:f>IF(B170="","",SUMIFS('Vendite_Patch'!$D$4:$D$303,'Vendite_Patch'!$L$4:$L$303,B170))</x:f>
      </x:c>
      <x:c r="E170" s="68"/>
      <x:c r="F170" s="68" t="str">
        <x:f>IF(B170="","",MAX(C170-D170-E170,0))</x:f>
      </x:c>
      <x:c r="G170" s="71" t="str">
        <x:f>IF(B170="","",SUMIFS('Vendite_Patch'!$F$4:$F$303,'Vendite_Patch'!$L$4:$L$303,B170,'Vendite_Patch'!$I$4:$I$303,"Sì"))</x:f>
      </x:c>
      <x:c r="H170" s="71"/>
      <x:c r="I170" s="71" t="str">
        <x:f>IF(B170="","",MAX(G170-H170,0))</x:f>
      </x:c>
      <x:c r="J170" s="60"/>
    </x:row>
    <x:row r="171" ht="22" customHeight="1">
      <x:c r="A171" s="65"/>
      <x:c r="B171" s="59"/>
      <x:c r="C171" s="68"/>
      <x:c r="D171" s="68" t="str">
        <x:f>IF(B171="","",SUMIFS('Vendite_Patch'!$D$4:$D$303,'Vendite_Patch'!$L$4:$L$303,B171))</x:f>
      </x:c>
      <x:c r="E171" s="68"/>
      <x:c r="F171" s="68" t="str">
        <x:f>IF(B171="","",MAX(C171-D171-E171,0))</x:f>
      </x:c>
      <x:c r="G171" s="71" t="str">
        <x:f>IF(B171="","",SUMIFS('Vendite_Patch'!$F$4:$F$303,'Vendite_Patch'!$L$4:$L$303,B171,'Vendite_Patch'!$I$4:$I$303,"Sì"))</x:f>
      </x:c>
      <x:c r="H171" s="71"/>
      <x:c r="I171" s="71" t="str">
        <x:f>IF(B171="","",MAX(G171-H171,0))</x:f>
      </x:c>
      <x:c r="J171" s="60"/>
    </x:row>
    <x:row r="172" ht="22" customHeight="1">
      <x:c r="A172" s="65"/>
      <x:c r="B172" s="59"/>
      <x:c r="C172" s="68"/>
      <x:c r="D172" s="68" t="str">
        <x:f>IF(B172="","",SUMIFS('Vendite_Patch'!$D$4:$D$303,'Vendite_Patch'!$L$4:$L$303,B172))</x:f>
      </x:c>
      <x:c r="E172" s="68"/>
      <x:c r="F172" s="68" t="str">
        <x:f>IF(B172="","",MAX(C172-D172-E172,0))</x:f>
      </x:c>
      <x:c r="G172" s="71" t="str">
        <x:f>IF(B172="","",SUMIFS('Vendite_Patch'!$F$4:$F$303,'Vendite_Patch'!$L$4:$L$303,B172,'Vendite_Patch'!$I$4:$I$303,"Sì"))</x:f>
      </x:c>
      <x:c r="H172" s="71"/>
      <x:c r="I172" s="71" t="str">
        <x:f>IF(B172="","",MAX(G172-H172,0))</x:f>
      </x:c>
      <x:c r="J172" s="60"/>
    </x:row>
    <x:row r="173" ht="22" customHeight="1">
      <x:c r="A173" s="65"/>
      <x:c r="B173" s="59"/>
      <x:c r="C173" s="68"/>
      <x:c r="D173" s="68" t="str">
        <x:f>IF(B173="","",SUMIFS('Vendite_Patch'!$D$4:$D$303,'Vendite_Patch'!$L$4:$L$303,B173))</x:f>
      </x:c>
      <x:c r="E173" s="68"/>
      <x:c r="F173" s="68" t="str">
        <x:f>IF(B173="","",MAX(C173-D173-E173,0))</x:f>
      </x:c>
      <x:c r="G173" s="71" t="str">
        <x:f>IF(B173="","",SUMIFS('Vendite_Patch'!$F$4:$F$303,'Vendite_Patch'!$L$4:$L$303,B173,'Vendite_Patch'!$I$4:$I$303,"Sì"))</x:f>
      </x:c>
      <x:c r="H173" s="71"/>
      <x:c r="I173" s="71" t="str">
        <x:f>IF(B173="","",MAX(G173-H173,0))</x:f>
      </x:c>
      <x:c r="J173" s="60"/>
    </x:row>
    <x:row r="174" ht="22" customHeight="1">
      <x:c r="A174" s="65"/>
      <x:c r="B174" s="59"/>
      <x:c r="C174" s="68"/>
      <x:c r="D174" s="68" t="str">
        <x:f>IF(B174="","",SUMIFS('Vendite_Patch'!$D$4:$D$303,'Vendite_Patch'!$L$4:$L$303,B174))</x:f>
      </x:c>
      <x:c r="E174" s="68"/>
      <x:c r="F174" s="68" t="str">
        <x:f>IF(B174="","",MAX(C174-D174-E174,0))</x:f>
      </x:c>
      <x:c r="G174" s="71" t="str">
        <x:f>IF(B174="","",SUMIFS('Vendite_Patch'!$F$4:$F$303,'Vendite_Patch'!$L$4:$L$303,B174,'Vendite_Patch'!$I$4:$I$303,"Sì"))</x:f>
      </x:c>
      <x:c r="H174" s="71"/>
      <x:c r="I174" s="71" t="str">
        <x:f>IF(B174="","",MAX(G174-H174,0))</x:f>
      </x:c>
      <x:c r="J174" s="60"/>
    </x:row>
    <x:row r="175" ht="22" customHeight="1">
      <x:c r="A175" s="65"/>
      <x:c r="B175" s="59"/>
      <x:c r="C175" s="68"/>
      <x:c r="D175" s="68" t="str">
        <x:f>IF(B175="","",SUMIFS('Vendite_Patch'!$D$4:$D$303,'Vendite_Patch'!$L$4:$L$303,B175))</x:f>
      </x:c>
      <x:c r="E175" s="68"/>
      <x:c r="F175" s="68" t="str">
        <x:f>IF(B175="","",MAX(C175-D175-E175,0))</x:f>
      </x:c>
      <x:c r="G175" s="71" t="str">
        <x:f>IF(B175="","",SUMIFS('Vendite_Patch'!$F$4:$F$303,'Vendite_Patch'!$L$4:$L$303,B175,'Vendite_Patch'!$I$4:$I$303,"Sì"))</x:f>
      </x:c>
      <x:c r="H175" s="71"/>
      <x:c r="I175" s="71" t="str">
        <x:f>IF(B175="","",MAX(G175-H175,0))</x:f>
      </x:c>
      <x:c r="J175" s="60"/>
    </x:row>
    <x:row r="176" ht="22" customHeight="1">
      <x:c r="A176" s="65"/>
      <x:c r="B176" s="59"/>
      <x:c r="C176" s="68"/>
      <x:c r="D176" s="68" t="str">
        <x:f>IF(B176="","",SUMIFS('Vendite_Patch'!$D$4:$D$303,'Vendite_Patch'!$L$4:$L$303,B176))</x:f>
      </x:c>
      <x:c r="E176" s="68"/>
      <x:c r="F176" s="68" t="str">
        <x:f>IF(B176="","",MAX(C176-D176-E176,0))</x:f>
      </x:c>
      <x:c r="G176" s="71" t="str">
        <x:f>IF(B176="","",SUMIFS('Vendite_Patch'!$F$4:$F$303,'Vendite_Patch'!$L$4:$L$303,B176,'Vendite_Patch'!$I$4:$I$303,"Sì"))</x:f>
      </x:c>
      <x:c r="H176" s="71"/>
      <x:c r="I176" s="71" t="str">
        <x:f>IF(B176="","",MAX(G176-H176,0))</x:f>
      </x:c>
      <x:c r="J176" s="60"/>
    </x:row>
    <x:row r="177" ht="22" customHeight="1">
      <x:c r="A177" s="65"/>
      <x:c r="B177" s="59"/>
      <x:c r="C177" s="68"/>
      <x:c r="D177" s="68" t="str">
        <x:f>IF(B177="","",SUMIFS('Vendite_Patch'!$D$4:$D$303,'Vendite_Patch'!$L$4:$L$303,B177))</x:f>
      </x:c>
      <x:c r="E177" s="68"/>
      <x:c r="F177" s="68" t="str">
        <x:f>IF(B177="","",MAX(C177-D177-E177,0))</x:f>
      </x:c>
      <x:c r="G177" s="71" t="str">
        <x:f>IF(B177="","",SUMIFS('Vendite_Patch'!$F$4:$F$303,'Vendite_Patch'!$L$4:$L$303,B177,'Vendite_Patch'!$I$4:$I$303,"Sì"))</x:f>
      </x:c>
      <x:c r="H177" s="71"/>
      <x:c r="I177" s="71" t="str">
        <x:f>IF(B177="","",MAX(G177-H177,0))</x:f>
      </x:c>
      <x:c r="J177" s="60"/>
    </x:row>
    <x:row r="178" ht="22" customHeight="1">
      <x:c r="A178" s="65"/>
      <x:c r="B178" s="59"/>
      <x:c r="C178" s="68"/>
      <x:c r="D178" s="68" t="str">
        <x:f>IF(B178="","",SUMIFS('Vendite_Patch'!$D$4:$D$303,'Vendite_Patch'!$L$4:$L$303,B178))</x:f>
      </x:c>
      <x:c r="E178" s="68"/>
      <x:c r="F178" s="68" t="str">
        <x:f>IF(B178="","",MAX(C178-D178-E178,0))</x:f>
      </x:c>
      <x:c r="G178" s="71" t="str">
        <x:f>IF(B178="","",SUMIFS('Vendite_Patch'!$F$4:$F$303,'Vendite_Patch'!$L$4:$L$303,B178,'Vendite_Patch'!$I$4:$I$303,"Sì"))</x:f>
      </x:c>
      <x:c r="H178" s="71"/>
      <x:c r="I178" s="71" t="str">
        <x:f>IF(B178="","",MAX(G178-H178,0))</x:f>
      </x:c>
      <x:c r="J178" s="60"/>
    </x:row>
    <x:row r="179" ht="22" customHeight="1">
      <x:c r="A179" s="65"/>
      <x:c r="B179" s="59"/>
      <x:c r="C179" s="68"/>
      <x:c r="D179" s="68" t="str">
        <x:f>IF(B179="","",SUMIFS('Vendite_Patch'!$D$4:$D$303,'Vendite_Patch'!$L$4:$L$303,B179))</x:f>
      </x:c>
      <x:c r="E179" s="68"/>
      <x:c r="F179" s="68" t="str">
        <x:f>IF(B179="","",MAX(C179-D179-E179,0))</x:f>
      </x:c>
      <x:c r="G179" s="71" t="str">
        <x:f>IF(B179="","",SUMIFS('Vendite_Patch'!$F$4:$F$303,'Vendite_Patch'!$L$4:$L$303,B179,'Vendite_Patch'!$I$4:$I$303,"Sì"))</x:f>
      </x:c>
      <x:c r="H179" s="71"/>
      <x:c r="I179" s="71" t="str">
        <x:f>IF(B179="","",MAX(G179-H179,0))</x:f>
      </x:c>
      <x:c r="J179" s="60"/>
    </x:row>
    <x:row r="180" ht="22" customHeight="1">
      <x:c r="A180" s="65"/>
      <x:c r="B180" s="59"/>
      <x:c r="C180" s="68"/>
      <x:c r="D180" s="68" t="str">
        <x:f>IF(B180="","",SUMIFS('Vendite_Patch'!$D$4:$D$303,'Vendite_Patch'!$L$4:$L$303,B180))</x:f>
      </x:c>
      <x:c r="E180" s="68"/>
      <x:c r="F180" s="68" t="str">
        <x:f>IF(B180="","",MAX(C180-D180-E180,0))</x:f>
      </x:c>
      <x:c r="G180" s="71" t="str">
        <x:f>IF(B180="","",SUMIFS('Vendite_Patch'!$F$4:$F$303,'Vendite_Patch'!$L$4:$L$303,B180,'Vendite_Patch'!$I$4:$I$303,"Sì"))</x:f>
      </x:c>
      <x:c r="H180" s="71"/>
      <x:c r="I180" s="71" t="str">
        <x:f>IF(B180="","",MAX(G180-H180,0))</x:f>
      </x:c>
      <x:c r="J180" s="60"/>
    </x:row>
    <x:row r="181" ht="22" customHeight="1">
      <x:c r="A181" s="65"/>
      <x:c r="B181" s="59"/>
      <x:c r="C181" s="68"/>
      <x:c r="D181" s="68" t="str">
        <x:f>IF(B181="","",SUMIFS('Vendite_Patch'!$D$4:$D$303,'Vendite_Patch'!$L$4:$L$303,B181))</x:f>
      </x:c>
      <x:c r="E181" s="68"/>
      <x:c r="F181" s="68" t="str">
        <x:f>IF(B181="","",MAX(C181-D181-E181,0))</x:f>
      </x:c>
      <x:c r="G181" s="71" t="str">
        <x:f>IF(B181="","",SUMIFS('Vendite_Patch'!$F$4:$F$303,'Vendite_Patch'!$L$4:$L$303,B181,'Vendite_Patch'!$I$4:$I$303,"Sì"))</x:f>
      </x:c>
      <x:c r="H181" s="71"/>
      <x:c r="I181" s="71" t="str">
        <x:f>IF(B181="","",MAX(G181-H181,0))</x:f>
      </x:c>
      <x:c r="J181" s="60"/>
    </x:row>
    <x:row r="182" ht="22" customHeight="1">
      <x:c r="A182" s="65"/>
      <x:c r="B182" s="59"/>
      <x:c r="C182" s="68"/>
      <x:c r="D182" s="68" t="str">
        <x:f>IF(B182="","",SUMIFS('Vendite_Patch'!$D$4:$D$303,'Vendite_Patch'!$L$4:$L$303,B182))</x:f>
      </x:c>
      <x:c r="E182" s="68"/>
      <x:c r="F182" s="68" t="str">
        <x:f>IF(B182="","",MAX(C182-D182-E182,0))</x:f>
      </x:c>
      <x:c r="G182" s="71" t="str">
        <x:f>IF(B182="","",SUMIFS('Vendite_Patch'!$F$4:$F$303,'Vendite_Patch'!$L$4:$L$303,B182,'Vendite_Patch'!$I$4:$I$303,"Sì"))</x:f>
      </x:c>
      <x:c r="H182" s="71"/>
      <x:c r="I182" s="71" t="str">
        <x:f>IF(B182="","",MAX(G182-H182,0))</x:f>
      </x:c>
      <x:c r="J182" s="60"/>
    </x:row>
    <x:row r="183" ht="22" customHeight="1">
      <x:c r="A183" s="65"/>
      <x:c r="B183" s="59"/>
      <x:c r="C183" s="68"/>
      <x:c r="D183" s="68" t="str">
        <x:f>IF(B183="","",SUMIFS('Vendite_Patch'!$D$4:$D$303,'Vendite_Patch'!$L$4:$L$303,B183))</x:f>
      </x:c>
      <x:c r="E183" s="68"/>
      <x:c r="F183" s="68" t="str">
        <x:f>IF(B183="","",MAX(C183-D183-E183,0))</x:f>
      </x:c>
      <x:c r="G183" s="71" t="str">
        <x:f>IF(B183="","",SUMIFS('Vendite_Patch'!$F$4:$F$303,'Vendite_Patch'!$L$4:$L$303,B183,'Vendite_Patch'!$I$4:$I$303,"Sì"))</x:f>
      </x:c>
      <x:c r="H183" s="71"/>
      <x:c r="I183" s="71" t="str">
        <x:f>IF(B183="","",MAX(G183-H183,0))</x:f>
      </x:c>
      <x:c r="J183" s="60"/>
    </x:row>
    <x:row r="184" ht="22" customHeight="1">
      <x:c r="A184" s="65"/>
      <x:c r="B184" s="59"/>
      <x:c r="C184" s="68"/>
      <x:c r="D184" s="68" t="str">
        <x:f>IF(B184="","",SUMIFS('Vendite_Patch'!$D$4:$D$303,'Vendite_Patch'!$L$4:$L$303,B184))</x:f>
      </x:c>
      <x:c r="E184" s="68"/>
      <x:c r="F184" s="68" t="str">
        <x:f>IF(B184="","",MAX(C184-D184-E184,0))</x:f>
      </x:c>
      <x:c r="G184" s="71" t="str">
        <x:f>IF(B184="","",SUMIFS('Vendite_Patch'!$F$4:$F$303,'Vendite_Patch'!$L$4:$L$303,B184,'Vendite_Patch'!$I$4:$I$303,"Sì"))</x:f>
      </x:c>
      <x:c r="H184" s="71"/>
      <x:c r="I184" s="71" t="str">
        <x:f>IF(B184="","",MAX(G184-H184,0))</x:f>
      </x:c>
      <x:c r="J184" s="60"/>
    </x:row>
    <x:row r="185" ht="22" customHeight="1">
      <x:c r="A185" s="65"/>
      <x:c r="B185" s="59"/>
      <x:c r="C185" s="68"/>
      <x:c r="D185" s="68" t="str">
        <x:f>IF(B185="","",SUMIFS('Vendite_Patch'!$D$4:$D$303,'Vendite_Patch'!$L$4:$L$303,B185))</x:f>
      </x:c>
      <x:c r="E185" s="68"/>
      <x:c r="F185" s="68" t="str">
        <x:f>IF(B185="","",MAX(C185-D185-E185,0))</x:f>
      </x:c>
      <x:c r="G185" s="71" t="str">
        <x:f>IF(B185="","",SUMIFS('Vendite_Patch'!$F$4:$F$303,'Vendite_Patch'!$L$4:$L$303,B185,'Vendite_Patch'!$I$4:$I$303,"Sì"))</x:f>
      </x:c>
      <x:c r="H185" s="71"/>
      <x:c r="I185" s="71" t="str">
        <x:f>IF(B185="","",MAX(G185-H185,0))</x:f>
      </x:c>
      <x:c r="J185" s="60"/>
    </x:row>
    <x:row r="186" ht="22" customHeight="1">
      <x:c r="A186" s="65"/>
      <x:c r="B186" s="59"/>
      <x:c r="C186" s="68"/>
      <x:c r="D186" s="68" t="str">
        <x:f>IF(B186="","",SUMIFS('Vendite_Patch'!$D$4:$D$303,'Vendite_Patch'!$L$4:$L$303,B186))</x:f>
      </x:c>
      <x:c r="E186" s="68"/>
      <x:c r="F186" s="68" t="str">
        <x:f>IF(B186="","",MAX(C186-D186-E186,0))</x:f>
      </x:c>
      <x:c r="G186" s="71" t="str">
        <x:f>IF(B186="","",SUMIFS('Vendite_Patch'!$F$4:$F$303,'Vendite_Patch'!$L$4:$L$303,B186,'Vendite_Patch'!$I$4:$I$303,"Sì"))</x:f>
      </x:c>
      <x:c r="H186" s="71"/>
      <x:c r="I186" s="71" t="str">
        <x:f>IF(B186="","",MAX(G186-H186,0))</x:f>
      </x:c>
      <x:c r="J186" s="60"/>
    </x:row>
    <x:row r="187" ht="22" customHeight="1">
      <x:c r="A187" s="65"/>
      <x:c r="B187" s="59"/>
      <x:c r="C187" s="68"/>
      <x:c r="D187" s="68" t="str">
        <x:f>IF(B187="","",SUMIFS('Vendite_Patch'!$D$4:$D$303,'Vendite_Patch'!$L$4:$L$303,B187))</x:f>
      </x:c>
      <x:c r="E187" s="68"/>
      <x:c r="F187" s="68" t="str">
        <x:f>IF(B187="","",MAX(C187-D187-E187,0))</x:f>
      </x:c>
      <x:c r="G187" s="71" t="str">
        <x:f>IF(B187="","",SUMIFS('Vendite_Patch'!$F$4:$F$303,'Vendite_Patch'!$L$4:$L$303,B187,'Vendite_Patch'!$I$4:$I$303,"Sì"))</x:f>
      </x:c>
      <x:c r="H187" s="71"/>
      <x:c r="I187" s="71" t="str">
        <x:f>IF(B187="","",MAX(G187-H187,0))</x:f>
      </x:c>
      <x:c r="J187" s="60"/>
    </x:row>
    <x:row r="188" ht="22" customHeight="1">
      <x:c r="A188" s="65"/>
      <x:c r="B188" s="59"/>
      <x:c r="C188" s="68"/>
      <x:c r="D188" s="68" t="str">
        <x:f>IF(B188="","",SUMIFS('Vendite_Patch'!$D$4:$D$303,'Vendite_Patch'!$L$4:$L$303,B188))</x:f>
      </x:c>
      <x:c r="E188" s="68"/>
      <x:c r="F188" s="68" t="str">
        <x:f>IF(B188="","",MAX(C188-D188-E188,0))</x:f>
      </x:c>
      <x:c r="G188" s="71" t="str">
        <x:f>IF(B188="","",SUMIFS('Vendite_Patch'!$F$4:$F$303,'Vendite_Patch'!$L$4:$L$303,B188,'Vendite_Patch'!$I$4:$I$303,"Sì"))</x:f>
      </x:c>
      <x:c r="H188" s="71"/>
      <x:c r="I188" s="71" t="str">
        <x:f>IF(B188="","",MAX(G188-H188,0))</x:f>
      </x:c>
      <x:c r="J188" s="60"/>
    </x:row>
    <x:row r="189" ht="22" customHeight="1">
      <x:c r="A189" s="65"/>
      <x:c r="B189" s="59"/>
      <x:c r="C189" s="68"/>
      <x:c r="D189" s="68" t="str">
        <x:f>IF(B189="","",SUMIFS('Vendite_Patch'!$D$4:$D$303,'Vendite_Patch'!$L$4:$L$303,B189))</x:f>
      </x:c>
      <x:c r="E189" s="68"/>
      <x:c r="F189" s="68" t="str">
        <x:f>IF(B189="","",MAX(C189-D189-E189,0))</x:f>
      </x:c>
      <x:c r="G189" s="71" t="str">
        <x:f>IF(B189="","",SUMIFS('Vendite_Patch'!$F$4:$F$303,'Vendite_Patch'!$L$4:$L$303,B189,'Vendite_Patch'!$I$4:$I$303,"Sì"))</x:f>
      </x:c>
      <x:c r="H189" s="71"/>
      <x:c r="I189" s="71" t="str">
        <x:f>IF(B189="","",MAX(G189-H189,0))</x:f>
      </x:c>
      <x:c r="J189" s="60"/>
    </x:row>
    <x:row r="190" ht="22" customHeight="1">
      <x:c r="A190" s="65"/>
      <x:c r="B190" s="59"/>
      <x:c r="C190" s="68"/>
      <x:c r="D190" s="68" t="str">
        <x:f>IF(B190="","",SUMIFS('Vendite_Patch'!$D$4:$D$303,'Vendite_Patch'!$L$4:$L$303,B190))</x:f>
      </x:c>
      <x:c r="E190" s="68"/>
      <x:c r="F190" s="68" t="str">
        <x:f>IF(B190="","",MAX(C190-D190-E190,0))</x:f>
      </x:c>
      <x:c r="G190" s="71" t="str">
        <x:f>IF(B190="","",SUMIFS('Vendite_Patch'!$F$4:$F$303,'Vendite_Patch'!$L$4:$L$303,B190,'Vendite_Patch'!$I$4:$I$303,"Sì"))</x:f>
      </x:c>
      <x:c r="H190" s="71"/>
      <x:c r="I190" s="71" t="str">
        <x:f>IF(B190="","",MAX(G190-H190,0))</x:f>
      </x:c>
      <x:c r="J190" s="60"/>
    </x:row>
    <x:row r="191" ht="22" customHeight="1">
      <x:c r="A191" s="65"/>
      <x:c r="B191" s="59"/>
      <x:c r="C191" s="68"/>
      <x:c r="D191" s="68" t="str">
        <x:f>IF(B191="","",SUMIFS('Vendite_Patch'!$D$4:$D$303,'Vendite_Patch'!$L$4:$L$303,B191))</x:f>
      </x:c>
      <x:c r="E191" s="68"/>
      <x:c r="F191" s="68" t="str">
        <x:f>IF(B191="","",MAX(C191-D191-E191,0))</x:f>
      </x:c>
      <x:c r="G191" s="71" t="str">
        <x:f>IF(B191="","",SUMIFS('Vendite_Patch'!$F$4:$F$303,'Vendite_Patch'!$L$4:$L$303,B191,'Vendite_Patch'!$I$4:$I$303,"Sì"))</x:f>
      </x:c>
      <x:c r="H191" s="71"/>
      <x:c r="I191" s="71" t="str">
        <x:f>IF(B191="","",MAX(G191-H191,0))</x:f>
      </x:c>
      <x:c r="J191" s="60"/>
    </x:row>
    <x:row r="192" ht="22" customHeight="1">
      <x:c r="A192" s="65"/>
      <x:c r="B192" s="59"/>
      <x:c r="C192" s="68"/>
      <x:c r="D192" s="68" t="str">
        <x:f>IF(B192="","",SUMIFS('Vendite_Patch'!$D$4:$D$303,'Vendite_Patch'!$L$4:$L$303,B192))</x:f>
      </x:c>
      <x:c r="E192" s="68"/>
      <x:c r="F192" s="68" t="str">
        <x:f>IF(B192="","",MAX(C192-D192-E192,0))</x:f>
      </x:c>
      <x:c r="G192" s="71" t="str">
        <x:f>IF(B192="","",SUMIFS('Vendite_Patch'!$F$4:$F$303,'Vendite_Patch'!$L$4:$L$303,B192,'Vendite_Patch'!$I$4:$I$303,"Sì"))</x:f>
      </x:c>
      <x:c r="H192" s="71"/>
      <x:c r="I192" s="71" t="str">
        <x:f>IF(B192="","",MAX(G192-H192,0))</x:f>
      </x:c>
      <x:c r="J192" s="60"/>
    </x:row>
    <x:row r="193" ht="22" customHeight="1">
      <x:c r="A193" s="65"/>
      <x:c r="B193" s="59"/>
      <x:c r="C193" s="68"/>
      <x:c r="D193" s="68" t="str">
        <x:f>IF(B193="","",SUMIFS('Vendite_Patch'!$D$4:$D$303,'Vendite_Patch'!$L$4:$L$303,B193))</x:f>
      </x:c>
      <x:c r="E193" s="68"/>
      <x:c r="F193" s="68" t="str">
        <x:f>IF(B193="","",MAX(C193-D193-E193,0))</x:f>
      </x:c>
      <x:c r="G193" s="71" t="str">
        <x:f>IF(B193="","",SUMIFS('Vendite_Patch'!$F$4:$F$303,'Vendite_Patch'!$L$4:$L$303,B193,'Vendite_Patch'!$I$4:$I$303,"Sì"))</x:f>
      </x:c>
      <x:c r="H193" s="71"/>
      <x:c r="I193" s="71" t="str">
        <x:f>IF(B193="","",MAX(G193-H193,0))</x:f>
      </x:c>
      <x:c r="J193" s="60"/>
    </x:row>
    <x:row r="194" ht="22" customHeight="1">
      <x:c r="A194" s="65"/>
      <x:c r="B194" s="59"/>
      <x:c r="C194" s="68"/>
      <x:c r="D194" s="68" t="str">
        <x:f>IF(B194="","",SUMIFS('Vendite_Patch'!$D$4:$D$303,'Vendite_Patch'!$L$4:$L$303,B194))</x:f>
      </x:c>
      <x:c r="E194" s="68"/>
      <x:c r="F194" s="68" t="str">
        <x:f>IF(B194="","",MAX(C194-D194-E194,0))</x:f>
      </x:c>
      <x:c r="G194" s="71" t="str">
        <x:f>IF(B194="","",SUMIFS('Vendite_Patch'!$F$4:$F$303,'Vendite_Patch'!$L$4:$L$303,B194,'Vendite_Patch'!$I$4:$I$303,"Sì"))</x:f>
      </x:c>
      <x:c r="H194" s="71"/>
      <x:c r="I194" s="71" t="str">
        <x:f>IF(B194="","",MAX(G194-H194,0))</x:f>
      </x:c>
      <x:c r="J194" s="60"/>
    </x:row>
    <x:row r="195" ht="22" customHeight="1">
      <x:c r="A195" s="65"/>
      <x:c r="B195" s="59"/>
      <x:c r="C195" s="68"/>
      <x:c r="D195" s="68" t="str">
        <x:f>IF(B195="","",SUMIFS('Vendite_Patch'!$D$4:$D$303,'Vendite_Patch'!$L$4:$L$303,B195))</x:f>
      </x:c>
      <x:c r="E195" s="68"/>
      <x:c r="F195" s="68" t="str">
        <x:f>IF(B195="","",MAX(C195-D195-E195,0))</x:f>
      </x:c>
      <x:c r="G195" s="71" t="str">
        <x:f>IF(B195="","",SUMIFS('Vendite_Patch'!$F$4:$F$303,'Vendite_Patch'!$L$4:$L$303,B195,'Vendite_Patch'!$I$4:$I$303,"Sì"))</x:f>
      </x:c>
      <x:c r="H195" s="71"/>
      <x:c r="I195" s="71" t="str">
        <x:f>IF(B195="","",MAX(G195-H195,0))</x:f>
      </x:c>
      <x:c r="J195" s="60"/>
    </x:row>
    <x:row r="196" ht="22" customHeight="1">
      <x:c r="A196" s="65"/>
      <x:c r="B196" s="59"/>
      <x:c r="C196" s="68"/>
      <x:c r="D196" s="68" t="str">
        <x:f>IF(B196="","",SUMIFS('Vendite_Patch'!$D$4:$D$303,'Vendite_Patch'!$L$4:$L$303,B196))</x:f>
      </x:c>
      <x:c r="E196" s="68"/>
      <x:c r="F196" s="68" t="str">
        <x:f>IF(B196="","",MAX(C196-D196-E196,0))</x:f>
      </x:c>
      <x:c r="G196" s="71" t="str">
        <x:f>IF(B196="","",SUMIFS('Vendite_Patch'!$F$4:$F$303,'Vendite_Patch'!$L$4:$L$303,B196,'Vendite_Patch'!$I$4:$I$303,"Sì"))</x:f>
      </x:c>
      <x:c r="H196" s="71"/>
      <x:c r="I196" s="71" t="str">
        <x:f>IF(B196="","",MAX(G196-H196,0))</x:f>
      </x:c>
      <x:c r="J196" s="60"/>
    </x:row>
    <x:row r="197" ht="22" customHeight="1">
      <x:c r="A197" s="65"/>
      <x:c r="B197" s="59"/>
      <x:c r="C197" s="68"/>
      <x:c r="D197" s="68" t="str">
        <x:f>IF(B197="","",SUMIFS('Vendite_Patch'!$D$4:$D$303,'Vendite_Patch'!$L$4:$L$303,B197))</x:f>
      </x:c>
      <x:c r="E197" s="68"/>
      <x:c r="F197" s="68" t="str">
        <x:f>IF(B197="","",MAX(C197-D197-E197,0))</x:f>
      </x:c>
      <x:c r="G197" s="71" t="str">
        <x:f>IF(B197="","",SUMIFS('Vendite_Patch'!$F$4:$F$303,'Vendite_Patch'!$L$4:$L$303,B197,'Vendite_Patch'!$I$4:$I$303,"Sì"))</x:f>
      </x:c>
      <x:c r="H197" s="71"/>
      <x:c r="I197" s="71" t="str">
        <x:f>IF(B197="","",MAX(G197-H197,0))</x:f>
      </x:c>
      <x:c r="J197" s="60"/>
    </x:row>
    <x:row r="198" ht="22" customHeight="1">
      <x:c r="A198" s="65"/>
      <x:c r="B198" s="59"/>
      <x:c r="C198" s="68"/>
      <x:c r="D198" s="68" t="str">
        <x:f>IF(B198="","",SUMIFS('Vendite_Patch'!$D$4:$D$303,'Vendite_Patch'!$L$4:$L$303,B198))</x:f>
      </x:c>
      <x:c r="E198" s="68"/>
      <x:c r="F198" s="68" t="str">
        <x:f>IF(B198="","",MAX(C198-D198-E198,0))</x:f>
      </x:c>
      <x:c r="G198" s="71" t="str">
        <x:f>IF(B198="","",SUMIFS('Vendite_Patch'!$F$4:$F$303,'Vendite_Patch'!$L$4:$L$303,B198,'Vendite_Patch'!$I$4:$I$303,"Sì"))</x:f>
      </x:c>
      <x:c r="H198" s="71"/>
      <x:c r="I198" s="71" t="str">
        <x:f>IF(B198="","",MAX(G198-H198,0))</x:f>
      </x:c>
      <x:c r="J198" s="60"/>
    </x:row>
    <x:row r="199" ht="22" customHeight="1">
      <x:c r="A199" s="65"/>
      <x:c r="B199" s="59"/>
      <x:c r="C199" s="68"/>
      <x:c r="D199" s="68" t="str">
        <x:f>IF(B199="","",SUMIFS('Vendite_Patch'!$D$4:$D$303,'Vendite_Patch'!$L$4:$L$303,B199))</x:f>
      </x:c>
      <x:c r="E199" s="68"/>
      <x:c r="F199" s="68" t="str">
        <x:f>IF(B199="","",MAX(C199-D199-E199,0))</x:f>
      </x:c>
      <x:c r="G199" s="71" t="str">
        <x:f>IF(B199="","",SUMIFS('Vendite_Patch'!$F$4:$F$303,'Vendite_Patch'!$L$4:$L$303,B199,'Vendite_Patch'!$I$4:$I$303,"Sì"))</x:f>
      </x:c>
      <x:c r="H199" s="71"/>
      <x:c r="I199" s="71" t="str">
        <x:f>IF(B199="","",MAX(G199-H199,0))</x:f>
      </x:c>
      <x:c r="J199" s="60"/>
    </x:row>
    <x:row r="200" ht="22" customHeight="1">
      <x:c r="A200" s="65"/>
      <x:c r="B200" s="59"/>
      <x:c r="C200" s="68"/>
      <x:c r="D200" s="68" t="str">
        <x:f>IF(B200="","",SUMIFS('Vendite_Patch'!$D$4:$D$303,'Vendite_Patch'!$L$4:$L$303,B200))</x:f>
      </x:c>
      <x:c r="E200" s="68"/>
      <x:c r="F200" s="68" t="str">
        <x:f>IF(B200="","",MAX(C200-D200-E200,0))</x:f>
      </x:c>
      <x:c r="G200" s="71" t="str">
        <x:f>IF(B200="","",SUMIFS('Vendite_Patch'!$F$4:$F$303,'Vendite_Patch'!$L$4:$L$303,B200,'Vendite_Patch'!$I$4:$I$303,"Sì"))</x:f>
      </x:c>
      <x:c r="H200" s="71"/>
      <x:c r="I200" s="71" t="str">
        <x:f>IF(B200="","",MAX(G200-H200,0))</x:f>
      </x:c>
      <x:c r="J200" s="60"/>
    </x:row>
    <x:row r="201" ht="22" customHeight="1">
      <x:c r="A201" s="65"/>
      <x:c r="B201" s="59"/>
      <x:c r="C201" s="68"/>
      <x:c r="D201" s="68" t="str">
        <x:f>IF(B201="","",SUMIFS('Vendite_Patch'!$D$4:$D$303,'Vendite_Patch'!$L$4:$L$303,B201))</x:f>
      </x:c>
      <x:c r="E201" s="68"/>
      <x:c r="F201" s="68" t="str">
        <x:f>IF(B201="","",MAX(C201-D201-E201,0))</x:f>
      </x:c>
      <x:c r="G201" s="71" t="str">
        <x:f>IF(B201="","",SUMIFS('Vendite_Patch'!$F$4:$F$303,'Vendite_Patch'!$L$4:$L$303,B201,'Vendite_Patch'!$I$4:$I$303,"Sì"))</x:f>
      </x:c>
      <x:c r="H201" s="71"/>
      <x:c r="I201" s="71" t="str">
        <x:f>IF(B201="","",MAX(G201-H201,0))</x:f>
      </x:c>
      <x:c r="J201" s="60"/>
    </x:row>
    <x:row r="202" ht="22" customHeight="1">
      <x:c r="A202" s="65"/>
      <x:c r="B202" s="59"/>
      <x:c r="C202" s="68"/>
      <x:c r="D202" s="68" t="str">
        <x:f>IF(B202="","",SUMIFS('Vendite_Patch'!$D$4:$D$303,'Vendite_Patch'!$L$4:$L$303,B202))</x:f>
      </x:c>
      <x:c r="E202" s="68"/>
      <x:c r="F202" s="68" t="str">
        <x:f>IF(B202="","",MAX(C202-D202-E202,0))</x:f>
      </x:c>
      <x:c r="G202" s="71" t="str">
        <x:f>IF(B202="","",SUMIFS('Vendite_Patch'!$F$4:$F$303,'Vendite_Patch'!$L$4:$L$303,B202,'Vendite_Patch'!$I$4:$I$303,"Sì"))</x:f>
      </x:c>
      <x:c r="H202" s="71"/>
      <x:c r="I202" s="71" t="str">
        <x:f>IF(B202="","",MAX(G202-H202,0))</x:f>
      </x:c>
      <x:c r="J202" s="60"/>
    </x:row>
    <x:row r="203" ht="22" customHeight="1">
      <x:c r="A203" s="66"/>
      <x:c r="B203" s="62"/>
      <x:c r="C203" s="69"/>
      <x:c r="D203" s="69" t="str">
        <x:f>IF(B203="","",SUMIFS('Vendite_Patch'!$D$4:$D$303,'Vendite_Patch'!$L$4:$L$303,B203))</x:f>
      </x:c>
      <x:c r="E203" s="69"/>
      <x:c r="F203" s="69" t="str">
        <x:f>IF(B203="","",MAX(C203-D203-E203,0))</x:f>
      </x:c>
      <x:c r="G203" s="72" t="str">
        <x:f>IF(B203="","",SUMIFS('Vendite_Patch'!$F$4:$F$303,'Vendite_Patch'!$L$4:$L$303,B203,'Vendite_Patch'!$I$4:$I$303,"Sì"))</x:f>
      </x:c>
      <x:c r="H203" s="72"/>
      <x:c r="I203" s="72" t="str">
        <x:f>IF(B203="","",MAX(G203-H203,0))</x:f>
      </x:c>
      <x:c r="J203" s="63"/>
    </x:row>
  </x:sheetData>
  <x:mergeCells>
    <x:mergeCell ref="A1:J1"/>
    <x:mergeCell ref="A2:J2"/>
  </x:mergeCells>
  <x:dataValidations count="5">
    <x:dataValidation type="date" operator="between" sqref="A4:A203">
      <x:formula1>2020-01-01</x:formula1>
      <x:formula2>2100-12-31</x:formula2>
    </x:dataValidation>
    <x:dataValidation type="list" sqref="B4:B203">
      <x:formula1>'Persone_Quote'!$B$4:$B$18</x:formula1>
    </x:dataValidation>
    <x:dataValidation type="whole" operator="greaterThanOrEqual" sqref="C4:C203">
      <x:formula1>0</x:formula1>
    </x:dataValidation>
    <x:dataValidation type="whole" operator="greaterThanOrEqual" sqref="E4:E203">
      <x:formula1>0</x:formula1>
    </x:dataValidation>
    <x:dataValidation type="decimal" operator="greaterThanOrEqual" sqref="H4:H203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a70dec9ab64fe8"/>
  </x:tableParts>
</x:worksheet>
</file>